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ugo/Documents/UF_Masters/hdda/project_final_draft/"/>
    </mc:Choice>
  </mc:AlternateContent>
  <xr:revisionPtr revIDLastSave="0" documentId="13_ncr:1_{5F7A0459-47DA-5844-AD33-9EE3770F4AA2}" xr6:coauthVersionLast="47" xr6:coauthVersionMax="47" xr10:uidLastSave="{00000000-0000-0000-0000-000000000000}"/>
  <bookViews>
    <workbookView xWindow="0" yWindow="500" windowWidth="35840" windowHeight="20640" activeTab="1" xr2:uid="{00000000-000D-0000-FFFF-FFFF00000000}"/>
  </bookViews>
  <sheets>
    <sheet name="results" sheetId="1" r:id="rId1"/>
    <sheet name="simulation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8" i="3" l="1"/>
  <c r="H38" i="3"/>
  <c r="I38" i="3" s="1"/>
  <c r="G39" i="3" s="1"/>
  <c r="H39" i="3" s="1"/>
  <c r="G15" i="3"/>
  <c r="H15" i="3" s="1"/>
  <c r="G14" i="3"/>
  <c r="H14" i="3" s="1"/>
  <c r="I13" i="3"/>
  <c r="F42" i="3"/>
  <c r="F43" i="3"/>
  <c r="F44" i="3"/>
  <c r="F45" i="3"/>
  <c r="F46" i="3"/>
  <c r="F47" i="3"/>
  <c r="F48" i="3"/>
  <c r="F49" i="3"/>
  <c r="F50" i="3"/>
  <c r="F51" i="3"/>
  <c r="D38" i="3"/>
  <c r="D39" i="3"/>
  <c r="D40" i="3"/>
  <c r="D42" i="3"/>
  <c r="D43" i="3"/>
  <c r="D44" i="3"/>
  <c r="D45" i="3"/>
  <c r="D46" i="3"/>
  <c r="D47" i="3"/>
  <c r="D51" i="3"/>
  <c r="D52" i="3"/>
  <c r="D53" i="3"/>
  <c r="D54" i="3"/>
  <c r="D55" i="3"/>
  <c r="D56" i="3"/>
  <c r="D37" i="3"/>
  <c r="F13" i="3"/>
  <c r="F14" i="3"/>
  <c r="F15" i="3"/>
  <c r="F16" i="3"/>
  <c r="F17" i="3"/>
  <c r="F18" i="3"/>
  <c r="F28" i="3"/>
  <c r="F29" i="3"/>
  <c r="F30" i="3"/>
  <c r="F31" i="3"/>
  <c r="F12" i="3"/>
  <c r="D13" i="3"/>
  <c r="D14" i="3"/>
  <c r="D22" i="3"/>
  <c r="D23" i="3"/>
  <c r="D24" i="3"/>
  <c r="D25" i="3"/>
  <c r="D26" i="3"/>
  <c r="D27" i="3"/>
  <c r="D28" i="3"/>
  <c r="D29" i="3"/>
  <c r="D30" i="3"/>
  <c r="C38" i="3"/>
  <c r="C39" i="3"/>
  <c r="C40" i="3"/>
  <c r="C41" i="3"/>
  <c r="D41" i="3" s="1"/>
  <c r="C42" i="3"/>
  <c r="C43" i="3"/>
  <c r="C44" i="3"/>
  <c r="C45" i="3"/>
  <c r="C46" i="3"/>
  <c r="C47" i="3"/>
  <c r="C48" i="3"/>
  <c r="D48" i="3" s="1"/>
  <c r="C49" i="3"/>
  <c r="D49" i="3" s="1"/>
  <c r="C50" i="3"/>
  <c r="D50" i="3" s="1"/>
  <c r="C51" i="3"/>
  <c r="C52" i="3"/>
  <c r="C53" i="3"/>
  <c r="C54" i="3"/>
  <c r="C55" i="3"/>
  <c r="C56" i="3"/>
  <c r="C37" i="3"/>
  <c r="C13" i="3"/>
  <c r="C14" i="3"/>
  <c r="C15" i="3"/>
  <c r="D15" i="3" s="1"/>
  <c r="C16" i="3"/>
  <c r="D16" i="3" s="1"/>
  <c r="C17" i="3"/>
  <c r="D17" i="3" s="1"/>
  <c r="C18" i="3"/>
  <c r="D18" i="3" s="1"/>
  <c r="C19" i="3"/>
  <c r="D19" i="3" s="1"/>
  <c r="C20" i="3"/>
  <c r="D20" i="3" s="1"/>
  <c r="C21" i="3"/>
  <c r="D21" i="3" s="1"/>
  <c r="C22" i="3"/>
  <c r="C23" i="3"/>
  <c r="C24" i="3"/>
  <c r="C25" i="3"/>
  <c r="C26" i="3"/>
  <c r="C27" i="3"/>
  <c r="C28" i="3"/>
  <c r="C29" i="3"/>
  <c r="C30" i="3"/>
  <c r="C31" i="3"/>
  <c r="D31" i="3" s="1"/>
  <c r="C12" i="3"/>
  <c r="D12" i="3" s="1"/>
  <c r="D8" i="3"/>
  <c r="I4" i="3"/>
  <c r="E38" i="3"/>
  <c r="F38" i="3" s="1"/>
  <c r="E39" i="3"/>
  <c r="F39" i="3" s="1"/>
  <c r="E40" i="3"/>
  <c r="F40" i="3" s="1"/>
  <c r="E41" i="3"/>
  <c r="F41" i="3" s="1"/>
  <c r="E42" i="3"/>
  <c r="E43" i="3"/>
  <c r="E44" i="3"/>
  <c r="E45" i="3"/>
  <c r="E46" i="3"/>
  <c r="E47" i="3"/>
  <c r="E48" i="3"/>
  <c r="E49" i="3"/>
  <c r="E50" i="3"/>
  <c r="E51" i="3"/>
  <c r="E52" i="3"/>
  <c r="F52" i="3" s="1"/>
  <c r="E53" i="3"/>
  <c r="F53" i="3" s="1"/>
  <c r="E54" i="3"/>
  <c r="F54" i="3" s="1"/>
  <c r="E55" i="3"/>
  <c r="F55" i="3" s="1"/>
  <c r="E56" i="3"/>
  <c r="F56" i="3" s="1"/>
  <c r="E37" i="3"/>
  <c r="F37" i="3" s="1"/>
  <c r="E13" i="3"/>
  <c r="E14" i="3"/>
  <c r="E15" i="3"/>
  <c r="E16" i="3"/>
  <c r="E17" i="3"/>
  <c r="E18" i="3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F27" i="3" s="1"/>
  <c r="E28" i="3"/>
  <c r="E29" i="3"/>
  <c r="E30" i="3"/>
  <c r="E31" i="3"/>
  <c r="E12" i="3"/>
  <c r="B24" i="1"/>
  <c r="I3" i="3" s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I39" i="3" l="1"/>
  <c r="G40" i="3"/>
  <c r="I15" i="3"/>
  <c r="G16" i="3" s="1"/>
  <c r="I14" i="3"/>
  <c r="H12" i="3"/>
  <c r="H37" i="3"/>
  <c r="I37" i="3" s="1"/>
  <c r="E25" i="1"/>
  <c r="B25" i="1"/>
  <c r="B26" i="1" s="1"/>
  <c r="D7" i="3"/>
  <c r="I5" i="3"/>
  <c r="I6" i="3" s="1"/>
  <c r="I12" i="3"/>
  <c r="F25" i="1"/>
  <c r="F26" i="1" s="1"/>
  <c r="H40" i="3" l="1"/>
  <c r="I40" i="3" s="1"/>
  <c r="H16" i="3"/>
  <c r="G17" i="3" s="1"/>
  <c r="I16" i="3"/>
  <c r="J12" i="3"/>
  <c r="J37" i="3"/>
  <c r="I7" i="3"/>
  <c r="G13" i="3"/>
  <c r="G41" i="3" l="1"/>
  <c r="H17" i="3"/>
  <c r="I17" i="3" s="1"/>
  <c r="G18" i="3" s="1"/>
  <c r="H13" i="3"/>
  <c r="H41" i="3" l="1"/>
  <c r="H18" i="3"/>
  <c r="I18" i="3" s="1"/>
  <c r="G19" i="3" s="1"/>
  <c r="J13" i="3"/>
  <c r="J38" i="3"/>
  <c r="I41" i="3" l="1"/>
  <c r="G42" i="3" s="1"/>
  <c r="H19" i="3"/>
  <c r="I19" i="3" s="1"/>
  <c r="G20" i="3" s="1"/>
  <c r="H42" i="3" l="1"/>
  <c r="H20" i="3"/>
  <c r="I20" i="3" s="1"/>
  <c r="G21" i="3" s="1"/>
  <c r="J39" i="3"/>
  <c r="J15" i="3"/>
  <c r="I42" i="3" l="1"/>
  <c r="G43" i="3" s="1"/>
  <c r="H21" i="3"/>
  <c r="I21" i="3" s="1"/>
  <c r="G22" i="3" s="1"/>
  <c r="J14" i="3"/>
  <c r="H43" i="3" l="1"/>
  <c r="H22" i="3"/>
  <c r="I22" i="3" s="1"/>
  <c r="G23" i="3" s="1"/>
  <c r="J40" i="3"/>
  <c r="J16" i="3"/>
  <c r="I43" i="3" l="1"/>
  <c r="G44" i="3" s="1"/>
  <c r="H23" i="3"/>
  <c r="I23" i="3"/>
  <c r="G24" i="3"/>
  <c r="H44" i="3" l="1"/>
  <c r="I44" i="3" s="1"/>
  <c r="H24" i="3"/>
  <c r="I24" i="3"/>
  <c r="G25" i="3" s="1"/>
  <c r="J41" i="3"/>
  <c r="G45" i="3" l="1"/>
  <c r="H25" i="3"/>
  <c r="I25" i="3" s="1"/>
  <c r="G26" i="3" s="1"/>
  <c r="J17" i="3"/>
  <c r="J42" i="3"/>
  <c r="H45" i="3" l="1"/>
  <c r="H26" i="3"/>
  <c r="G27" i="3" s="1"/>
  <c r="I26" i="3"/>
  <c r="I45" i="3" l="1"/>
  <c r="G46" i="3" s="1"/>
  <c r="H27" i="3"/>
  <c r="I27" i="3" s="1"/>
  <c r="H46" i="3" l="1"/>
  <c r="I46" i="3" s="1"/>
  <c r="G47" i="3" s="1"/>
  <c r="G28" i="3"/>
  <c r="J18" i="3"/>
  <c r="H47" i="3" l="1"/>
  <c r="I47" i="3" s="1"/>
  <c r="G48" i="3" s="1"/>
  <c r="H28" i="3"/>
  <c r="I28" i="3"/>
  <c r="G29" i="3"/>
  <c r="J43" i="3"/>
  <c r="H48" i="3" l="1"/>
  <c r="I48" i="3"/>
  <c r="H29" i="3"/>
  <c r="G30" i="3" s="1"/>
  <c r="I29" i="3"/>
  <c r="G49" i="3" l="1"/>
  <c r="H49" i="3"/>
  <c r="H30" i="3"/>
  <c r="G31" i="3" s="1"/>
  <c r="I30" i="3"/>
  <c r="J19" i="3"/>
  <c r="J44" i="3"/>
  <c r="J20" i="3"/>
  <c r="I49" i="3" l="1"/>
  <c r="G50" i="3" s="1"/>
  <c r="H31" i="3"/>
  <c r="I31" i="3"/>
  <c r="H50" i="3" l="1"/>
  <c r="J45" i="3"/>
  <c r="I50" i="3" l="1"/>
  <c r="G51" i="3" s="1"/>
  <c r="J21" i="3"/>
  <c r="H51" i="3" l="1"/>
  <c r="I51" i="3"/>
  <c r="G52" i="3" s="1"/>
  <c r="J46" i="3"/>
  <c r="H52" i="3" l="1"/>
  <c r="I52" i="3"/>
  <c r="J47" i="3"/>
  <c r="G53" i="3" l="1"/>
  <c r="H53" i="3"/>
  <c r="I53" i="3"/>
  <c r="J22" i="3"/>
  <c r="G54" i="3" l="1"/>
  <c r="H54" i="3"/>
  <c r="I54" i="3" s="1"/>
  <c r="G55" i="3" s="1"/>
  <c r="J48" i="3"/>
  <c r="H55" i="3" l="1"/>
  <c r="J23" i="3"/>
  <c r="I55" i="3" l="1"/>
  <c r="G56" i="3" s="1"/>
  <c r="H56" i="3" l="1"/>
  <c r="I56" i="3" s="1"/>
  <c r="J49" i="3"/>
  <c r="J24" i="3"/>
  <c r="J25" i="3" l="1"/>
  <c r="J50" i="3" l="1"/>
  <c r="J51" i="3" l="1"/>
  <c r="J26" i="3"/>
  <c r="J52" i="3" l="1"/>
  <c r="J27" i="3"/>
  <c r="J53" i="3" l="1"/>
  <c r="J28" i="3" l="1"/>
  <c r="J54" i="3" l="1"/>
  <c r="J55" i="3" l="1"/>
  <c r="J29" i="3" l="1"/>
  <c r="J56" i="3" l="1"/>
  <c r="J57" i="3" s="1"/>
  <c r="C60" i="3" l="1"/>
  <c r="D60" i="3" l="1"/>
  <c r="J30" i="3"/>
  <c r="J31" i="3" l="1"/>
  <c r="J32" i="3" s="1"/>
  <c r="C59" i="3" l="1"/>
  <c r="D59" i="3" s="1"/>
  <c r="C61" i="3" l="1"/>
  <c r="D61" i="3"/>
</calcChain>
</file>

<file path=xl/sharedStrings.xml><?xml version="1.0" encoding="utf-8"?>
<sst xmlns="http://schemas.openxmlformats.org/spreadsheetml/2006/main" count="61" uniqueCount="46">
  <si>
    <t>4 Week Moving Average</t>
  </si>
  <si>
    <t>Ridge Regression Senors + Time</t>
  </si>
  <si>
    <t>TRUE</t>
  </si>
  <si>
    <t>Error^2 - 4 Week MA</t>
  </si>
  <si>
    <t>Error^2 - Ridge Reg.</t>
  </si>
  <si>
    <t>Mean Squared Error (MSE)</t>
  </si>
  <si>
    <t>Percent Difference</t>
  </si>
  <si>
    <t>n/a</t>
  </si>
  <si>
    <t>Simulation Rules</t>
  </si>
  <si>
    <t>Power Demand per Period</t>
  </si>
  <si>
    <t>Total Wind Power</t>
  </si>
  <si>
    <t>Power Demand</t>
  </si>
  <si>
    <t xml:space="preserve">Power Needed - True </t>
  </si>
  <si>
    <t>Power Needed - MA</t>
  </si>
  <si>
    <t>Fuel Needed - True</t>
  </si>
  <si>
    <t>Cost</t>
  </si>
  <si>
    <t>Fuel Needed - Prediction - MA</t>
  </si>
  <si>
    <t>Excess Fuel</t>
  </si>
  <si>
    <t>Fuel Purchase - Planned</t>
  </si>
  <si>
    <t>Fuel Purchased - Unplanned</t>
  </si>
  <si>
    <t>Fuel Purchasing Simulation for Ridge Regression</t>
  </si>
  <si>
    <t>Power Needed - RR</t>
  </si>
  <si>
    <t>Fuel Needed - Prediction - RR</t>
  </si>
  <si>
    <t>Percent Change</t>
  </si>
  <si>
    <t>Cost Without Forecasting</t>
  </si>
  <si>
    <t>Wind Power</t>
  </si>
  <si>
    <t>Supplement</t>
  </si>
  <si>
    <t xml:space="preserve">Fuel Needed </t>
  </si>
  <si>
    <t>Penalty</t>
  </si>
  <si>
    <t>Scenario</t>
  </si>
  <si>
    <t>Total Cost</t>
  </si>
  <si>
    <t>Savings with MA</t>
  </si>
  <si>
    <t>Saving with RR</t>
  </si>
  <si>
    <t>Savings Improvement</t>
  </si>
  <si>
    <t xml:space="preserve">Test Results </t>
  </si>
  <si>
    <t>Power Generated</t>
  </si>
  <si>
    <t>Period</t>
  </si>
  <si>
    <t>Error</t>
  </si>
  <si>
    <t>1. Naïve: Price &amp; Demand are constant.</t>
  </si>
  <si>
    <t xml:space="preserve">5. Cost / Barrel </t>
  </si>
  <si>
    <t>6. Cost / Unplanned barrel</t>
  </si>
  <si>
    <t>7. Holding Cost</t>
  </si>
  <si>
    <t>2. Wind Power accounts for 20% of energy demands</t>
  </si>
  <si>
    <t xml:space="preserve">3. Lead Time for fuel purchases is 2 weeks </t>
  </si>
  <si>
    <t>4. Barrels of crude oil / unit of power</t>
  </si>
  <si>
    <r>
      <t xml:space="preserve">Fuel Purchasing Simulation for 4 week Moving Average </t>
    </r>
    <r>
      <rPr>
        <sz val="20"/>
        <color rgb="FFFF0000"/>
        <rFont val="Calibri (Body)"/>
      </rPr>
      <t>(Point of Comparison)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</si>
</sst>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20"/>
      <color rgb="FFFF0000"/>
      <name val="Calibri (Body)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18" fillId="0" borderId="0" xfId="0" applyFont="1"/>
    <xf numFmtId="0" fontId="18" fillId="0" borderId="0" xfId="0" applyNumberFormat="1" applyFont="1"/>
    <xf numFmtId="0" fontId="2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Alignment="1">
      <alignment horizontal="center"/>
    </xf>
    <xf numFmtId="44" fontId="0" fillId="0" borderId="0" xfId="1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10" xfId="0" applyFont="1" applyBorder="1" applyAlignment="1">
      <alignment horizontal="center"/>
    </xf>
    <xf numFmtId="44" fontId="20" fillId="0" borderId="10" xfId="1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164" fontId="20" fillId="0" borderId="10" xfId="0" applyNumberFormat="1" applyFont="1" applyBorder="1" applyAlignment="1">
      <alignment horizontal="center"/>
    </xf>
    <xf numFmtId="0" fontId="0" fillId="0" borderId="0" xfId="0" applyFont="1" applyBorder="1" applyAlignment="1"/>
    <xf numFmtId="0" fontId="20" fillId="33" borderId="10" xfId="0" applyFont="1" applyFill="1" applyBorder="1" applyAlignment="1">
      <alignment horizontal="center"/>
    </xf>
    <xf numFmtId="0" fontId="20" fillId="0" borderId="10" xfId="0" applyFont="1" applyFill="1" applyBorder="1" applyAlignment="1">
      <alignment horizontal="center"/>
    </xf>
    <xf numFmtId="0" fontId="0" fillId="0" borderId="0" xfId="0" applyFont="1" applyFill="1" applyBorder="1" applyAlignment="1"/>
    <xf numFmtId="9" fontId="20" fillId="0" borderId="10" xfId="2" applyFont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44" fontId="0" fillId="0" borderId="1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0" fillId="0" borderId="10" xfId="0" applyFont="1" applyBorder="1" applyAlignment="1">
      <alignment horizontal="center" wrapText="1"/>
    </xf>
    <xf numFmtId="0" fontId="0" fillId="0" borderId="10" xfId="0" applyFont="1" applyBorder="1" applyAlignment="1">
      <alignment horizontal="right"/>
    </xf>
    <xf numFmtId="0" fontId="20" fillId="0" borderId="10" xfId="0" applyFont="1" applyBorder="1" applyAlignment="1">
      <alignment horizontal="right"/>
    </xf>
    <xf numFmtId="44" fontId="20" fillId="0" borderId="1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18" fillId="0" borderId="10" xfId="0" applyFont="1" applyBorder="1"/>
    <xf numFmtId="0" fontId="18" fillId="0" borderId="10" xfId="0" applyFont="1" applyBorder="1" applyAlignment="1">
      <alignment horizontal="center" vertical="center"/>
    </xf>
    <xf numFmtId="10" fontId="18" fillId="0" borderId="10" xfId="2" applyNumberFormat="1" applyFont="1" applyBorder="1"/>
    <xf numFmtId="0" fontId="18" fillId="34" borderId="10" xfId="0" applyFont="1" applyFill="1" applyBorder="1"/>
    <xf numFmtId="0" fontId="18" fillId="35" borderId="10" xfId="0" applyFont="1" applyFill="1" applyBorder="1" applyAlignment="1">
      <alignment wrapText="1"/>
    </xf>
    <xf numFmtId="0" fontId="18" fillId="35" borderId="14" xfId="0" applyFont="1" applyFill="1" applyBorder="1" applyAlignment="1">
      <alignment wrapText="1"/>
    </xf>
    <xf numFmtId="0" fontId="18" fillId="38" borderId="10" xfId="0" applyFont="1" applyFill="1" applyBorder="1" applyAlignment="1"/>
    <xf numFmtId="9" fontId="0" fillId="0" borderId="10" xfId="2" applyFont="1" applyBorder="1" applyAlignment="1">
      <alignment horizontal="center"/>
    </xf>
    <xf numFmtId="0" fontId="0" fillId="38" borderId="10" xfId="0" applyFont="1" applyFill="1" applyBorder="1" applyAlignment="1">
      <alignment horizontal="center"/>
    </xf>
    <xf numFmtId="0" fontId="20" fillId="39" borderId="10" xfId="0" applyFont="1" applyFill="1" applyBorder="1" applyAlignment="1">
      <alignment horizontal="center"/>
    </xf>
    <xf numFmtId="0" fontId="20" fillId="41" borderId="10" xfId="0" applyFont="1" applyFill="1" applyBorder="1" applyAlignment="1">
      <alignment horizontal="center"/>
    </xf>
    <xf numFmtId="0" fontId="20" fillId="42" borderId="10" xfId="0" applyFont="1" applyFill="1" applyBorder="1" applyAlignment="1">
      <alignment horizontal="center"/>
    </xf>
    <xf numFmtId="0" fontId="0" fillId="43" borderId="10" xfId="0" applyFont="1" applyFill="1" applyBorder="1" applyAlignment="1">
      <alignment horizontal="center"/>
    </xf>
    <xf numFmtId="1" fontId="0" fillId="35" borderId="10" xfId="0" applyNumberFormat="1" applyFont="1" applyFill="1" applyBorder="1" applyAlignment="1">
      <alignment horizontal="center"/>
    </xf>
    <xf numFmtId="1" fontId="0" fillId="34" borderId="10" xfId="0" applyNumberFormat="1" applyFont="1" applyFill="1" applyBorder="1" applyAlignment="1">
      <alignment horizontal="center"/>
    </xf>
    <xf numFmtId="0" fontId="0" fillId="40" borderId="10" xfId="0" applyFont="1" applyFill="1" applyBorder="1" applyAlignment="1">
      <alignment horizontal="center"/>
    </xf>
    <xf numFmtId="44" fontId="0" fillId="44" borderId="10" xfId="1" applyFont="1" applyFill="1" applyBorder="1" applyAlignment="1">
      <alignment horizontal="center"/>
    </xf>
    <xf numFmtId="44" fontId="0" fillId="33" borderId="10" xfId="0" applyNumberFormat="1" applyFont="1" applyFill="1" applyBorder="1" applyAlignment="1">
      <alignment horizontal="center"/>
    </xf>
    <xf numFmtId="0" fontId="20" fillId="45" borderId="10" xfId="0" applyFont="1" applyFill="1" applyBorder="1" applyAlignment="1">
      <alignment horizontal="center"/>
    </xf>
    <xf numFmtId="0" fontId="20" fillId="46" borderId="10" xfId="0" applyFont="1" applyFill="1" applyBorder="1" applyAlignment="1">
      <alignment horizontal="center"/>
    </xf>
    <xf numFmtId="1" fontId="20" fillId="46" borderId="10" xfId="0" applyNumberFormat="1" applyFont="1" applyFill="1" applyBorder="1" applyAlignment="1">
      <alignment horizontal="center"/>
    </xf>
    <xf numFmtId="164" fontId="20" fillId="0" borderId="10" xfId="0" applyNumberFormat="1" applyFont="1" applyFill="1" applyBorder="1" applyAlignment="1">
      <alignment horizontal="center"/>
    </xf>
    <xf numFmtId="0" fontId="0" fillId="34" borderId="10" xfId="0" applyFont="1" applyFill="1" applyBorder="1" applyAlignment="1">
      <alignment horizontal="center"/>
    </xf>
    <xf numFmtId="0" fontId="0" fillId="0" borderId="0" xfId="0" applyFont="1"/>
    <xf numFmtId="0" fontId="18" fillId="33" borderId="10" xfId="0" applyFont="1" applyFill="1" applyBorder="1" applyAlignment="1">
      <alignment horizontal="center"/>
    </xf>
    <xf numFmtId="0" fontId="18" fillId="37" borderId="10" xfId="0" applyFont="1" applyFill="1" applyBorder="1" applyAlignment="1">
      <alignment horizontal="center"/>
    </xf>
    <xf numFmtId="0" fontId="18" fillId="36" borderId="12" xfId="0" applyFont="1" applyFill="1" applyBorder="1" applyAlignment="1">
      <alignment horizontal="center"/>
    </xf>
    <xf numFmtId="0" fontId="18" fillId="36" borderId="13" xfId="0" applyFont="1" applyFill="1" applyBorder="1" applyAlignment="1">
      <alignment horizontal="center"/>
    </xf>
    <xf numFmtId="0" fontId="18" fillId="36" borderId="11" xfId="0" applyFont="1" applyFill="1" applyBorder="1" applyAlignment="1">
      <alignment horizontal="center"/>
    </xf>
    <xf numFmtId="0" fontId="0" fillId="33" borderId="10" xfId="0" applyFont="1" applyFill="1" applyBorder="1" applyAlignment="1">
      <alignment horizontal="center"/>
    </xf>
    <xf numFmtId="0" fontId="19" fillId="33" borderId="10" xfId="0" applyFont="1" applyFill="1" applyBorder="1" applyAlignment="1">
      <alignment horizontal="center"/>
    </xf>
    <xf numFmtId="0" fontId="0" fillId="0" borderId="10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3" xfId="0" applyFont="1" applyBorder="1" applyAlignment="1">
      <alignment horizontal="left"/>
    </xf>
    <xf numFmtId="0" fontId="0" fillId="0" borderId="11" xfId="0" applyFont="1" applyBorder="1" applyAlignment="1">
      <alignment horizontal="left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0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B3:F24" totalsRowCount="1" headerRowDxfId="23" dataDxfId="22">
  <autoFilter ref="B3:F23" xr:uid="{00000000-0009-0000-0100-000002000000}"/>
  <tableColumns count="5">
    <tableColumn id="1" xr3:uid="{00000000-0010-0000-0000-000001000000}" name="TRUE" totalsRowFunction="custom" dataDxfId="21" totalsRowDxfId="20">
      <totalsRowFormula>SUM(Table2[TRUE])</totalsRowFormula>
    </tableColumn>
    <tableColumn id="2" xr3:uid="{00000000-0010-0000-0000-000002000000}" name="4 Week Moving Average" dataDxfId="19" totalsRowDxfId="18"/>
    <tableColumn id="3" xr3:uid="{00000000-0010-0000-0000-000003000000}" name="Ridge Regression Senors + Time" dataDxfId="17" totalsRowDxfId="16"/>
    <tableColumn id="4" xr3:uid="{00000000-0010-0000-0000-000004000000}" name="Error^2 - 4 Week MA" dataDxfId="15" totalsRowDxfId="14">
      <calculatedColumnFormula>(Table2[[#This Row],[4 Week Moving Average]]-Table2[[#This Row],[TRUE]])^2</calculatedColumnFormula>
    </tableColumn>
    <tableColumn id="5" xr3:uid="{00000000-0010-0000-0000-000005000000}" name="Error^2 - Ridge Reg." dataDxfId="13" totalsRowDxfId="12">
      <calculatedColumnFormula>(Table2[[#This Row],[Ridge Regression Senors + Time]]-Table2[[#This Row],[TRUE]])^2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E6F327-0CB1-0D45-AA99-C650D6C05001}" name="Table1" displayName="Table1" ref="A3:A23" totalsRowShown="0" headerRowDxfId="11" dataDxfId="10" tableBorderDxfId="9">
  <autoFilter ref="A3:A23" xr:uid="{900CE93E-8E9C-0542-A89E-27FFF03F9B1E}"/>
  <tableColumns count="1">
    <tableColumn id="1" xr3:uid="{A8B03097-D521-D349-9130-29967CF22899}" name="Period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FD607E-4118-2B49-9379-952E003B02CB}" name="Table14" displayName="Table14" ref="A11:A31" totalsRowShown="0" headerRowDxfId="7" dataDxfId="6" tableBorderDxfId="5">
  <autoFilter ref="A11:A31" xr:uid="{4CA2C30F-95D4-E142-B301-CA6A92EAAE83}"/>
  <tableColumns count="1">
    <tableColumn id="1" xr3:uid="{A1DFE2BE-88AD-CA43-AB14-C39FF1186B9E}" name="Period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3C5E2A-6233-BF46-8A53-1B59F920C2AC}" name="Table145" displayName="Table145" ref="A36:A56" totalsRowShown="0" headerRowDxfId="3" dataDxfId="2" tableBorderDxfId="1">
  <autoFilter ref="A36:A56" xr:uid="{DF088EFC-0B18-7141-9FEE-2B69F40BECE3}"/>
  <tableColumns count="1">
    <tableColumn id="1" xr3:uid="{D2F9E550-AEB2-8B4C-864A-ECE7B6A71F49}" name="Perio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6"/>
  <sheetViews>
    <sheetView workbookViewId="0">
      <selection activeCell="E13" sqref="E13"/>
    </sheetView>
  </sheetViews>
  <sheetFormatPr baseColWidth="10" defaultRowHeight="26" x14ac:dyDescent="0.3"/>
  <cols>
    <col min="1" max="1" width="20.33203125" style="1" customWidth="1"/>
    <col min="2" max="2" width="20" style="1" bestFit="1" customWidth="1"/>
    <col min="3" max="3" width="38.33203125" style="1" bestFit="1" customWidth="1"/>
    <col min="4" max="4" width="48.83203125" style="1" bestFit="1" customWidth="1"/>
    <col min="5" max="5" width="33.6640625" style="1" bestFit="1" customWidth="1"/>
    <col min="6" max="6" width="31.83203125" style="1" bestFit="1" customWidth="1"/>
    <col min="7" max="8" width="10.83203125" style="1"/>
    <col min="9" max="9" width="38.83203125" style="1" bestFit="1" customWidth="1"/>
    <col min="10" max="10" width="30.6640625" style="1" bestFit="1" customWidth="1"/>
    <col min="11" max="11" width="29.83203125" style="1" bestFit="1" customWidth="1"/>
    <col min="12" max="16384" width="10.83203125" style="1"/>
  </cols>
  <sheetData>
    <row r="1" spans="1:6" x14ac:dyDescent="0.3">
      <c r="A1" s="51" t="s">
        <v>34</v>
      </c>
      <c r="B1" s="51"/>
      <c r="C1" s="51"/>
      <c r="D1" s="51"/>
      <c r="E1" s="51"/>
      <c r="F1" s="51"/>
    </row>
    <row r="2" spans="1:6" x14ac:dyDescent="0.3">
      <c r="A2" s="33" t="s">
        <v>36</v>
      </c>
      <c r="B2" s="53" t="s">
        <v>35</v>
      </c>
      <c r="C2" s="54"/>
      <c r="D2" s="55"/>
      <c r="E2" s="52" t="s">
        <v>37</v>
      </c>
      <c r="F2" s="52"/>
    </row>
    <row r="3" spans="1:6" x14ac:dyDescent="0.3">
      <c r="A3" s="1" t="s">
        <v>36</v>
      </c>
      <c r="B3" s="1" t="s">
        <v>2</v>
      </c>
      <c r="C3" s="1" t="s">
        <v>0</v>
      </c>
      <c r="D3" s="1" t="s">
        <v>1</v>
      </c>
      <c r="E3" s="1" t="s">
        <v>3</v>
      </c>
      <c r="F3" s="1" t="s">
        <v>4</v>
      </c>
    </row>
    <row r="4" spans="1:6" x14ac:dyDescent="0.3">
      <c r="A4" s="1">
        <v>1</v>
      </c>
      <c r="B4" s="1">
        <v>12.6345809852022</v>
      </c>
      <c r="C4" s="1">
        <v>6.33666261317601</v>
      </c>
      <c r="D4" s="1">
        <v>12.812999002941</v>
      </c>
      <c r="E4" s="1">
        <f>(Table2[[#This Row],[4 Week Moving Average]]-Table2[[#This Row],[TRUE]])^2</f>
        <v>39.66377582070502</v>
      </c>
      <c r="F4" s="1">
        <f>(Table2[[#This Row],[Ridge Regression Senors + Time]]-Table2[[#This Row],[TRUE]])^2</f>
        <v>3.1832989053842575E-2</v>
      </c>
    </row>
    <row r="5" spans="1:6" x14ac:dyDescent="0.3">
      <c r="A5" s="1">
        <v>2</v>
      </c>
      <c r="B5" s="1">
        <v>7.6809337108947799</v>
      </c>
      <c r="C5" s="1">
        <v>10.719159118436201</v>
      </c>
      <c r="D5" s="1">
        <v>7.8139997582739298</v>
      </c>
      <c r="E5" s="1">
        <f>(Table2[[#This Row],[4 Week Moving Average]]-Table2[[#This Row],[TRUE]])^2</f>
        <v>9.2308136270302317</v>
      </c>
      <c r="F5" s="1">
        <f>(Table2[[#This Row],[Ridge Regression Senors + Time]]-Table2[[#This Row],[TRUE]])^2</f>
        <v>1.7706572965110152E-2</v>
      </c>
    </row>
    <row r="6" spans="1:6" x14ac:dyDescent="0.3">
      <c r="A6" s="1">
        <v>3</v>
      </c>
      <c r="B6" s="1">
        <v>12.7095209488562</v>
      </c>
      <c r="C6" s="1">
        <v>10.1577573480485</v>
      </c>
      <c r="D6" s="1">
        <v>12.6729679161121</v>
      </c>
      <c r="E6" s="1">
        <f>(Table2[[#This Row],[4 Week Moving Average]]-Table2[[#This Row],[TRUE]])^2</f>
        <v>6.5114974744070784</v>
      </c>
      <c r="F6" s="1">
        <f>(Table2[[#This Row],[Ridge Regression Senors + Time]]-Table2[[#This Row],[TRUE]])^2</f>
        <v>1.3361242027912744E-3</v>
      </c>
    </row>
    <row r="7" spans="1:6" x14ac:dyDescent="0.3">
      <c r="A7" s="1">
        <v>4</v>
      </c>
      <c r="B7" s="1">
        <v>10.7619250566826</v>
      </c>
      <c r="C7" s="1">
        <v>10.195227329875401</v>
      </c>
      <c r="D7" s="1">
        <v>10.7415658789745</v>
      </c>
      <c r="E7" s="1">
        <f>(Table2[[#This Row],[4 Week Moving Average]]-Table2[[#This Row],[TRUE]])^2</f>
        <v>0.32114631356844658</v>
      </c>
      <c r="F7" s="1">
        <f>(Table2[[#This Row],[Ridge Regression Senors + Time]]-Table2[[#This Row],[TRUE]])^2</f>
        <v>4.1449611694998809E-4</v>
      </c>
    </row>
    <row r="8" spans="1:6" x14ac:dyDescent="0.3">
      <c r="A8" s="1">
        <v>5</v>
      </c>
      <c r="B8" s="1">
        <v>9.0725316014225097</v>
      </c>
      <c r="C8" s="1">
        <v>11.735723002769401</v>
      </c>
      <c r="D8" s="1">
        <v>8.97886049483688</v>
      </c>
      <c r="E8" s="1">
        <f>(Table2[[#This Row],[4 Week Moving Average]]-Table2[[#This Row],[TRUE]])^2</f>
        <v>7.0925884402080177</v>
      </c>
      <c r="F8" s="1">
        <f>(Table2[[#This Row],[Ridge Regression Senors + Time]]-Table2[[#This Row],[TRUE]])^2</f>
        <v>8.7742762089764031E-3</v>
      </c>
    </row>
    <row r="9" spans="1:6" x14ac:dyDescent="0.3">
      <c r="A9" s="1">
        <v>6</v>
      </c>
      <c r="B9" s="1">
        <v>10.469340941580599</v>
      </c>
      <c r="C9" s="1">
        <v>9.9172283290525893</v>
      </c>
      <c r="D9" s="1">
        <v>10.3285604780075</v>
      </c>
      <c r="E9" s="1">
        <f>(Table2[[#This Row],[4 Week Moving Average]]-Table2[[#This Row],[TRUE]])^2</f>
        <v>0.30482833691250427</v>
      </c>
      <c r="F9" s="1">
        <f>(Table2[[#This Row],[Ridge Regression Senors + Time]]-Table2[[#This Row],[TRUE]])^2</f>
        <v>1.9819138923856758E-2</v>
      </c>
    </row>
    <row r="10" spans="1:6" x14ac:dyDescent="0.3">
      <c r="A10" s="1">
        <v>7</v>
      </c>
      <c r="B10" s="1">
        <v>1.54564695756971</v>
      </c>
      <c r="C10" s="1">
        <v>9.7709362715015597</v>
      </c>
      <c r="D10" s="1">
        <v>1.69127347633847</v>
      </c>
      <c r="E10" s="1">
        <f>(Table2[[#This Row],[4 Week Moving Average]]-Table2[[#This Row],[TRUE]])^2</f>
        <v>67.655384297881469</v>
      </c>
      <c r="F10" s="1">
        <f>(Table2[[#This Row],[Ridge Regression Senors + Time]]-Table2[[#This Row],[TRUE]])^2</f>
        <v>2.1207082968708005E-2</v>
      </c>
    </row>
    <row r="11" spans="1:6" x14ac:dyDescent="0.3">
      <c r="A11" s="1">
        <v>8</v>
      </c>
      <c r="B11" s="1">
        <v>1.00215767801094</v>
      </c>
      <c r="C11" s="1">
        <v>6.00749394957516</v>
      </c>
      <c r="D11" s="1">
        <v>1.0707958259261401</v>
      </c>
      <c r="E11" s="1">
        <f>(Table2[[#This Row],[4 Week Moving Average]]-Table2[[#This Row],[TRUE]])^2</f>
        <v>25.053391191436404</v>
      </c>
      <c r="F11" s="1">
        <f>(Table2[[#This Row],[Ridge Regression Senors + Time]]-Table2[[#This Row],[TRUE]])^2</f>
        <v>4.7111953492288833E-3</v>
      </c>
    </row>
    <row r="12" spans="1:6" x14ac:dyDescent="0.3">
      <c r="A12" s="1">
        <v>9</v>
      </c>
      <c r="B12" s="1">
        <v>2.56673302937598</v>
      </c>
      <c r="C12" s="1">
        <v>1.2739023177903199</v>
      </c>
      <c r="D12" s="1">
        <v>2.16427637929409</v>
      </c>
      <c r="E12" s="1">
        <f>(Table2[[#This Row],[4 Week Moving Average]]-Table2[[#This Row],[TRUE]])^2</f>
        <v>1.6714112488190842</v>
      </c>
      <c r="F12" s="1">
        <f>(Table2[[#This Row],[Ridge Regression Senors + Time]]-Table2[[#This Row],[TRUE]])^2</f>
        <v>0.16197135519513686</v>
      </c>
    </row>
    <row r="13" spans="1:6" x14ac:dyDescent="0.3">
      <c r="A13" s="1">
        <v>10</v>
      </c>
      <c r="B13" s="1">
        <v>1.7032387588089799</v>
      </c>
      <c r="C13" s="1">
        <v>1.7844453536934599</v>
      </c>
      <c r="D13" s="1">
        <v>1.85619441850596</v>
      </c>
      <c r="E13" s="1">
        <f>(Table2[[#This Row],[4 Week Moving Average]]-Table2[[#This Row],[TRUE]])^2</f>
        <v>6.5945110527320548E-3</v>
      </c>
      <c r="F13" s="1">
        <f>(Table2[[#This Row],[Ridge Regression Senors + Time]]-Table2[[#This Row],[TRUE]])^2</f>
        <v>2.3395433833338385E-2</v>
      </c>
    </row>
    <row r="14" spans="1:6" x14ac:dyDescent="0.3">
      <c r="A14" s="1">
        <v>11</v>
      </c>
      <c r="B14" s="1">
        <v>2.5324703685791201</v>
      </c>
      <c r="C14" s="1">
        <v>2.13498589409248</v>
      </c>
      <c r="D14" s="1">
        <v>2.6964023720601702</v>
      </c>
      <c r="E14" s="1">
        <f>(Table2[[#This Row],[4 Week Moving Average]]-Table2[[#This Row],[TRUE]])^2</f>
        <v>0.1579939074579205</v>
      </c>
      <c r="F14" s="1">
        <f>(Table2[[#This Row],[Ridge Regression Senors + Time]]-Table2[[#This Row],[TRUE]])^2</f>
        <v>2.6873701765311016E-2</v>
      </c>
    </row>
    <row r="15" spans="1:6" x14ac:dyDescent="0.3">
      <c r="A15" s="1">
        <v>12</v>
      </c>
      <c r="B15" s="1">
        <v>2.5213728798916102</v>
      </c>
      <c r="C15" s="1">
        <v>2.11785456369405</v>
      </c>
      <c r="D15" s="1">
        <v>2.4828417527414701</v>
      </c>
      <c r="E15" s="1">
        <f>(Table2[[#This Row],[4 Week Moving Average]]-Table2[[#This Row],[TRUE]])^2</f>
        <v>0.16282703150691416</v>
      </c>
      <c r="F15" s="1">
        <f>(Table2[[#This Row],[Ridge Regression Senors + Time]]-Table2[[#This Row],[TRUE]])^2</f>
        <v>1.4846477594602609E-3</v>
      </c>
    </row>
    <row r="16" spans="1:6" x14ac:dyDescent="0.3">
      <c r="A16" s="1">
        <v>13</v>
      </c>
      <c r="B16" s="1">
        <v>2.9063401809177298</v>
      </c>
      <c r="C16" s="1">
        <v>2.5269216242353698</v>
      </c>
      <c r="D16" s="1">
        <v>2.6683300712600801</v>
      </c>
      <c r="E16" s="1">
        <f>(Table2[[#This Row],[4 Week Moving Average]]-Table2[[#This Row],[TRUE]])^2</f>
        <v>0.14395844115492523</v>
      </c>
      <c r="F16" s="1">
        <f>(Table2[[#This Row],[Ridge Regression Senors + Time]]-Table2[[#This Row],[TRUE]])^2</f>
        <v>5.6648812299246426E-2</v>
      </c>
    </row>
    <row r="17" spans="1:6" x14ac:dyDescent="0.3">
      <c r="A17" s="1">
        <v>14</v>
      </c>
      <c r="B17" s="1">
        <v>4.2811229755382998</v>
      </c>
      <c r="C17" s="1">
        <v>2.7138565304046698</v>
      </c>
      <c r="D17" s="1">
        <v>4.0249988017486</v>
      </c>
      <c r="E17" s="1">
        <f>(Table2[[#This Row],[4 Week Moving Average]]-Table2[[#This Row],[TRUE]])^2</f>
        <v>2.4563241100418058</v>
      </c>
      <c r="F17" s="1">
        <f>(Table2[[#This Row],[Ridge Regression Senors + Time]]-Table2[[#This Row],[TRUE]])^2</f>
        <v>6.5599592399456327E-2</v>
      </c>
    </row>
    <row r="18" spans="1:6" x14ac:dyDescent="0.3">
      <c r="A18" s="1">
        <v>15</v>
      </c>
      <c r="B18" s="1">
        <v>4.4197169443856499</v>
      </c>
      <c r="C18" s="1">
        <v>3.5937315782280201</v>
      </c>
      <c r="D18" s="1">
        <v>4.1017625904760999</v>
      </c>
      <c r="E18" s="1">
        <f>(Table2[[#This Row],[4 Week Moving Average]]-Table2[[#This Row],[TRUE]])^2</f>
        <v>0.68225182510655369</v>
      </c>
      <c r="F18" s="1">
        <f>(Table2[[#This Row],[Ridge Regression Senors + Time]]-Table2[[#This Row],[TRUE]])^2</f>
        <v>0.10109497117003935</v>
      </c>
    </row>
    <row r="19" spans="1:6" x14ac:dyDescent="0.3">
      <c r="A19" s="1">
        <v>16</v>
      </c>
      <c r="B19" s="1">
        <v>4.6198474917409396</v>
      </c>
      <c r="C19" s="1">
        <v>4.3504199599619797</v>
      </c>
      <c r="D19" s="1">
        <v>4.57254051709217</v>
      </c>
      <c r="E19" s="1">
        <f>(Table2[[#This Row],[4 Week Moving Average]]-Table2[[#This Row],[TRUE]])^2</f>
        <v>7.2591194880502419E-2</v>
      </c>
      <c r="F19" s="1">
        <f>(Table2[[#This Row],[Ridge Regression Senors + Time]]-Table2[[#This Row],[TRUE]])^2</f>
        <v>2.2379498504193239E-3</v>
      </c>
    </row>
    <row r="20" spans="1:6" x14ac:dyDescent="0.3">
      <c r="A20" s="1">
        <v>17</v>
      </c>
      <c r="B20" s="1">
        <v>4.1066348915070998</v>
      </c>
      <c r="C20" s="1">
        <v>4.5197822180633</v>
      </c>
      <c r="D20" s="1">
        <v>4.2203082052981502</v>
      </c>
      <c r="E20" s="1">
        <f>(Table2[[#This Row],[4 Week Moving Average]]-Table2[[#This Row],[TRUE]])^2</f>
        <v>0.17069071344053555</v>
      </c>
      <c r="F20" s="1">
        <f>(Table2[[#This Row],[Ridge Regression Senors + Time]]-Table2[[#This Row],[TRUE]])^2</f>
        <v>1.2921622268238607E-2</v>
      </c>
    </row>
    <row r="21" spans="1:6" x14ac:dyDescent="0.3">
      <c r="A21" s="1">
        <v>18</v>
      </c>
      <c r="B21" s="1">
        <v>4.5181699367220496</v>
      </c>
      <c r="C21" s="1">
        <v>4.3632411916240201</v>
      </c>
      <c r="D21" s="1">
        <v>4.65426379959509</v>
      </c>
      <c r="E21" s="1">
        <f>(Table2[[#This Row],[4 Week Moving Average]]-Table2[[#This Row],[TRUE]])^2</f>
        <v>2.4002916057650186E-2</v>
      </c>
      <c r="F21" s="1">
        <f>(Table2[[#This Row],[Ridge Regression Senors + Time]]-Table2[[#This Row],[TRUE]])^2</f>
        <v>1.8521539511705917E-2</v>
      </c>
    </row>
    <row r="22" spans="1:6" x14ac:dyDescent="0.3">
      <c r="A22" s="1">
        <v>19</v>
      </c>
      <c r="B22" s="1">
        <v>3.5148924664132202</v>
      </c>
      <c r="C22" s="1">
        <v>4.3124024141145796</v>
      </c>
      <c r="D22" s="1">
        <v>3.1514348284359301</v>
      </c>
      <c r="E22" s="1">
        <f>(Table2[[#This Row],[4 Week Moving Average]]-Table2[[#This Row],[TRUE]])^2</f>
        <v>0.63602211668262498</v>
      </c>
      <c r="F22" s="1">
        <f>(Table2[[#This Row],[Ridge Regression Senors + Time]]-Table2[[#This Row],[TRUE]])^2</f>
        <v>0.1321014546040308</v>
      </c>
    </row>
    <row r="23" spans="1:6" x14ac:dyDescent="0.3">
      <c r="A23" s="1">
        <v>20</v>
      </c>
      <c r="B23" s="1">
        <v>3.99680873883859</v>
      </c>
      <c r="C23" s="1">
        <v>4.0165312015676404</v>
      </c>
      <c r="D23" s="1">
        <v>3.55404554195596</v>
      </c>
      <c r="E23" s="1">
        <f>(Table2[[#This Row],[4 Week Moving Average]]-Table2[[#This Row],[TRUE]])^2</f>
        <v>3.8897553609878321E-4</v>
      </c>
      <c r="F23" s="1">
        <f>(Table2[[#This Row],[Ridge Regression Senors + Time]]-Table2[[#This Row],[TRUE]])^2</f>
        <v>0.19603924851372656</v>
      </c>
    </row>
    <row r="24" spans="1:6" ht="54" x14ac:dyDescent="0.3">
      <c r="A24" s="32" t="s">
        <v>10</v>
      </c>
      <c r="B24" s="27">
        <f>SUM(Table2[TRUE])</f>
        <v>107.56398654293882</v>
      </c>
      <c r="E24" s="2"/>
      <c r="F24" s="2"/>
    </row>
    <row r="25" spans="1:6" ht="54" x14ac:dyDescent="0.3">
      <c r="A25" s="31" t="s">
        <v>11</v>
      </c>
      <c r="B25" s="27">
        <f>Table2[[#Totals],[TRUE]]*5</f>
        <v>537.81993271469412</v>
      </c>
      <c r="D25" s="30" t="s">
        <v>5</v>
      </c>
      <c r="E25" s="27">
        <f>AVERAGE(Table2[Error^2 - 4 Week MA])</f>
        <v>8.1009241246943269</v>
      </c>
      <c r="F25" s="27">
        <f>AVERAGE(Table2[Error^2 - Ridge Reg.])</f>
        <v>4.5234610247978688E-2</v>
      </c>
    </row>
    <row r="26" spans="1:6" ht="81" x14ac:dyDescent="0.3">
      <c r="A26" s="31" t="s">
        <v>9</v>
      </c>
      <c r="B26" s="27">
        <f>B25/20</f>
        <v>26.890996635734705</v>
      </c>
      <c r="D26" s="30" t="s">
        <v>6</v>
      </c>
      <c r="E26" s="28" t="s">
        <v>7</v>
      </c>
      <c r="F26" s="29">
        <f>((F25-E25)/E25)</f>
        <v>-0.99441611727851043</v>
      </c>
    </row>
  </sheetData>
  <mergeCells count="3">
    <mergeCell ref="A1:F1"/>
    <mergeCell ref="E2:F2"/>
    <mergeCell ref="B2:D2"/>
  </mergeCells>
  <pageMargins left="0.75" right="0.75" top="1" bottom="1" header="0.5" footer="0.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1"/>
  <sheetViews>
    <sheetView tabSelected="1" zoomScale="151" workbookViewId="0">
      <selection activeCell="B10" sqref="B10:J10"/>
    </sheetView>
  </sheetViews>
  <sheetFormatPr baseColWidth="10" defaultRowHeight="16" x14ac:dyDescent="0.2"/>
  <cols>
    <col min="1" max="1" width="10.83203125" style="4"/>
    <col min="2" max="2" width="22.83203125" style="4" bestFit="1" customWidth="1"/>
    <col min="3" max="3" width="19.1640625" style="4" bestFit="1" customWidth="1"/>
    <col min="4" max="4" width="17" style="4" bestFit="1" customWidth="1"/>
    <col min="5" max="5" width="17.83203125" style="4" bestFit="1" customWidth="1"/>
    <col min="6" max="6" width="26.1640625" style="4" bestFit="1" customWidth="1"/>
    <col min="7" max="7" width="10.5" style="4" bestFit="1" customWidth="1"/>
    <col min="8" max="8" width="20.83203125" style="4" bestFit="1" customWidth="1"/>
    <col min="9" max="9" width="24.33203125" style="4" bestFit="1" customWidth="1"/>
    <col min="10" max="10" width="14" style="4" bestFit="1" customWidth="1"/>
    <col min="11" max="11" width="10.5" style="4" customWidth="1"/>
    <col min="12" max="16384" width="10.83203125" style="4"/>
  </cols>
  <sheetData>
    <row r="1" spans="1:12" x14ac:dyDescent="0.2">
      <c r="B1" s="56" t="s">
        <v>8</v>
      </c>
      <c r="C1" s="56"/>
    </row>
    <row r="2" spans="1:12" x14ac:dyDescent="0.2">
      <c r="B2" s="58" t="s">
        <v>38</v>
      </c>
      <c r="C2" s="58"/>
      <c r="D2" s="12"/>
      <c r="E2" s="3"/>
      <c r="F2" s="3"/>
      <c r="H2" s="56" t="s">
        <v>24</v>
      </c>
      <c r="I2" s="56"/>
    </row>
    <row r="3" spans="1:12" ht="17" x14ac:dyDescent="0.2">
      <c r="B3" s="58" t="s">
        <v>42</v>
      </c>
      <c r="C3" s="58"/>
      <c r="D3" s="12"/>
      <c r="E3" s="3"/>
      <c r="F3" s="3"/>
      <c r="G3" s="3"/>
      <c r="H3" s="22" t="s">
        <v>11</v>
      </c>
      <c r="I3" s="23">
        <f>Table2[[#Totals],[TRUE]]*5</f>
        <v>537.81993271469412</v>
      </c>
    </row>
    <row r="4" spans="1:12" x14ac:dyDescent="0.2">
      <c r="B4" s="59" t="s">
        <v>43</v>
      </c>
      <c r="C4" s="60"/>
      <c r="D4" s="21" t="s">
        <v>29</v>
      </c>
      <c r="E4" s="15"/>
      <c r="F4" s="3"/>
      <c r="H4" s="10" t="s">
        <v>25</v>
      </c>
      <c r="I4" s="23">
        <f>SUM(Table2[TRUE])</f>
        <v>107.56398654293882</v>
      </c>
    </row>
    <row r="5" spans="1:12" x14ac:dyDescent="0.2">
      <c r="B5" s="59" t="s">
        <v>44</v>
      </c>
      <c r="C5" s="61"/>
      <c r="D5" s="14">
        <v>100</v>
      </c>
      <c r="E5" s="17"/>
      <c r="H5" s="8" t="s">
        <v>26</v>
      </c>
      <c r="I5" s="24">
        <f>I3-I4</f>
        <v>430.25594617175528</v>
      </c>
    </row>
    <row r="6" spans="1:12" x14ac:dyDescent="0.2">
      <c r="B6" s="59" t="s">
        <v>39</v>
      </c>
      <c r="C6" s="61"/>
      <c r="D6" s="9">
        <v>60</v>
      </c>
      <c r="E6" s="13" t="s">
        <v>28</v>
      </c>
      <c r="F6" s="3"/>
      <c r="H6" s="8" t="s">
        <v>27</v>
      </c>
      <c r="I6" s="24">
        <f>_xlfn.CEILING.MATH(D5*I5)</f>
        <v>43026</v>
      </c>
    </row>
    <row r="7" spans="1:12" x14ac:dyDescent="0.2">
      <c r="B7" s="59" t="s">
        <v>40</v>
      </c>
      <c r="C7" s="61"/>
      <c r="D7" s="9">
        <f>D6+D6*E7</f>
        <v>84</v>
      </c>
      <c r="E7" s="16">
        <v>0.4</v>
      </c>
      <c r="F7" s="3"/>
      <c r="G7" s="3"/>
      <c r="H7" s="8" t="s">
        <v>15</v>
      </c>
      <c r="I7" s="25">
        <f>I6*D7</f>
        <v>3614184</v>
      </c>
    </row>
    <row r="8" spans="1:12" x14ac:dyDescent="0.2">
      <c r="B8" s="59" t="s">
        <v>41</v>
      </c>
      <c r="C8" s="61"/>
      <c r="D8" s="9">
        <f>D6*E8</f>
        <v>6</v>
      </c>
      <c r="E8" s="16">
        <v>0.1</v>
      </c>
      <c r="F8" s="3"/>
      <c r="G8" s="3"/>
      <c r="H8" s="3"/>
      <c r="I8" s="3"/>
    </row>
    <row r="9" spans="1:12" x14ac:dyDescent="0.2">
      <c r="B9" s="3"/>
      <c r="C9" s="3"/>
      <c r="D9" s="3"/>
      <c r="E9" s="3"/>
      <c r="F9" s="3"/>
    </row>
    <row r="10" spans="1:12" ht="26" x14ac:dyDescent="0.3">
      <c r="B10" s="57" t="s">
        <v>45</v>
      </c>
      <c r="C10" s="57"/>
      <c r="D10" s="57"/>
      <c r="E10" s="57"/>
      <c r="F10" s="57"/>
      <c r="G10" s="57"/>
      <c r="H10" s="57"/>
      <c r="I10" s="57"/>
      <c r="J10" s="57"/>
      <c r="K10" s="7"/>
    </row>
    <row r="11" spans="1:12" x14ac:dyDescent="0.2">
      <c r="A11" s="50" t="s">
        <v>36</v>
      </c>
      <c r="B11" s="45" t="s">
        <v>9</v>
      </c>
      <c r="C11" s="8" t="s">
        <v>12</v>
      </c>
      <c r="D11" s="45" t="s">
        <v>14</v>
      </c>
      <c r="E11" s="8" t="s">
        <v>13</v>
      </c>
      <c r="F11" s="45" t="s">
        <v>16</v>
      </c>
      <c r="G11" s="38" t="s">
        <v>17</v>
      </c>
      <c r="H11" s="36" t="s">
        <v>18</v>
      </c>
      <c r="I11" s="37" t="s">
        <v>19</v>
      </c>
      <c r="J11" s="42" t="s">
        <v>15</v>
      </c>
    </row>
    <row r="12" spans="1:12" x14ac:dyDescent="0.2">
      <c r="A12" s="50">
        <v>1</v>
      </c>
      <c r="B12" s="46">
        <v>27</v>
      </c>
      <c r="C12" s="11">
        <f>B12-results!B4</f>
        <v>14.3654190147978</v>
      </c>
      <c r="D12" s="47">
        <f>_xlfn.CEILING.MATH(C12*$D$5)</f>
        <v>1437</v>
      </c>
      <c r="E12" s="11">
        <f>B12-results!C4</f>
        <v>20.66333738682399</v>
      </c>
      <c r="F12" s="46">
        <f xml:space="preserve"> _xlfn.CEILING.MATH(E12*$D$5)</f>
        <v>2067</v>
      </c>
      <c r="G12" s="49">
        <v>0</v>
      </c>
      <c r="H12" s="40">
        <f>F12 - G12</f>
        <v>2067</v>
      </c>
      <c r="I12" s="41">
        <f>IF(D12-H12&lt;0, 0, D12-H12)</f>
        <v>0</v>
      </c>
      <c r="J12" s="43">
        <f>G12*$D$8 +H12*$D$6+I12*$D$7</f>
        <v>124020</v>
      </c>
      <c r="K12" s="6"/>
      <c r="L12" s="5"/>
    </row>
    <row r="13" spans="1:12" x14ac:dyDescent="0.2">
      <c r="A13" s="50">
        <v>2</v>
      </c>
      <c r="B13" s="46">
        <v>27</v>
      </c>
      <c r="C13" s="11">
        <f>B13-results!B5</f>
        <v>19.319066289105219</v>
      </c>
      <c r="D13" s="47">
        <f t="shared" ref="D13:D31" si="0">_xlfn.CEILING.MATH(C13*$D$5)</f>
        <v>1932</v>
      </c>
      <c r="E13" s="11">
        <f>B13-results!C5</f>
        <v>16.280840881563797</v>
      </c>
      <c r="F13" s="46">
        <f t="shared" ref="F13:F31" si="1" xml:space="preserve"> _xlfn.CEILING.MATH(E13*$D$5)</f>
        <v>1629</v>
      </c>
      <c r="G13" s="41">
        <f>SUM(H12:I12) - D12</f>
        <v>630</v>
      </c>
      <c r="H13" s="40">
        <f>F13 - G13</f>
        <v>999</v>
      </c>
      <c r="I13" s="41">
        <f>IF(G13+H13&lt;D13, D13-G13-H13, 0)</f>
        <v>303</v>
      </c>
      <c r="J13" s="43">
        <f>G13*$D$8 +H13*$D$6+I13*$D$7</f>
        <v>89172</v>
      </c>
      <c r="K13" s="6"/>
      <c r="L13" s="5"/>
    </row>
    <row r="14" spans="1:12" x14ac:dyDescent="0.2">
      <c r="A14" s="50">
        <v>3</v>
      </c>
      <c r="B14" s="46">
        <v>27</v>
      </c>
      <c r="C14" s="11">
        <f>B14-results!B6</f>
        <v>14.2904790511438</v>
      </c>
      <c r="D14" s="47">
        <f t="shared" si="0"/>
        <v>1430</v>
      </c>
      <c r="E14" s="11">
        <f>B14-results!C6</f>
        <v>16.842242651951501</v>
      </c>
      <c r="F14" s="46">
        <f t="shared" si="1"/>
        <v>1685</v>
      </c>
      <c r="G14" s="41">
        <f>IF(SUM(G13:I13)&gt;D13,SUM(G13:I13)-D13,0)</f>
        <v>0</v>
      </c>
      <c r="H14" s="40">
        <f t="shared" ref="H14" si="2">F14 - G14</f>
        <v>1685</v>
      </c>
      <c r="I14" s="41">
        <f t="shared" ref="I14" si="3">IF(G14+H14&lt;D14, D14-G14-H14, 0)</f>
        <v>0</v>
      </c>
      <c r="J14" s="43">
        <f>G14*$D$8 +H14*$D$6+I14*$D$7</f>
        <v>101100</v>
      </c>
      <c r="K14" s="6"/>
      <c r="L14" s="5"/>
    </row>
    <row r="15" spans="1:12" x14ac:dyDescent="0.2">
      <c r="A15" s="50">
        <v>4</v>
      </c>
      <c r="B15" s="46">
        <v>27</v>
      </c>
      <c r="C15" s="11">
        <f>B15-results!B7</f>
        <v>16.2380749433174</v>
      </c>
      <c r="D15" s="47">
        <f t="shared" si="0"/>
        <v>1624</v>
      </c>
      <c r="E15" s="11">
        <f>B15-results!C7</f>
        <v>16.804772670124599</v>
      </c>
      <c r="F15" s="46">
        <f t="shared" si="1"/>
        <v>1681</v>
      </c>
      <c r="G15" s="41">
        <f t="shared" ref="G15:G31" si="4">IF(SUM(G14:I14)&gt;D14,SUM(G14:I14)-D14,0)</f>
        <v>255</v>
      </c>
      <c r="H15" s="40">
        <f t="shared" ref="H15:H31" si="5">F15 - G15</f>
        <v>1426</v>
      </c>
      <c r="I15" s="41">
        <f t="shared" ref="I15:I31" si="6">IF(G15+H15&lt;D15, D15-G15-H15, 0)</f>
        <v>0</v>
      </c>
      <c r="J15" s="43">
        <f t="shared" ref="J15:J31" si="7">G15*$D$8 +H15*$D$6+I15*$D$7</f>
        <v>87090</v>
      </c>
      <c r="K15" s="6"/>
      <c r="L15" s="5"/>
    </row>
    <row r="16" spans="1:12" x14ac:dyDescent="0.2">
      <c r="A16" s="50">
        <v>5</v>
      </c>
      <c r="B16" s="46">
        <v>27</v>
      </c>
      <c r="C16" s="11">
        <f>B16-results!B8</f>
        <v>17.927468398577489</v>
      </c>
      <c r="D16" s="47">
        <f t="shared" si="0"/>
        <v>1793</v>
      </c>
      <c r="E16" s="11">
        <f>B16-results!C8</f>
        <v>15.264276997230599</v>
      </c>
      <c r="F16" s="46">
        <f t="shared" si="1"/>
        <v>1527</v>
      </c>
      <c r="G16" s="41">
        <f t="shared" si="4"/>
        <v>57</v>
      </c>
      <c r="H16" s="40">
        <f t="shared" si="5"/>
        <v>1470</v>
      </c>
      <c r="I16" s="41">
        <f t="shared" si="6"/>
        <v>266</v>
      </c>
      <c r="J16" s="43">
        <f t="shared" si="7"/>
        <v>110886</v>
      </c>
      <c r="K16" s="6"/>
      <c r="L16" s="5"/>
    </row>
    <row r="17" spans="1:12" x14ac:dyDescent="0.2">
      <c r="A17" s="50">
        <v>6</v>
      </c>
      <c r="B17" s="46">
        <v>27</v>
      </c>
      <c r="C17" s="11">
        <f>B17-results!B9</f>
        <v>16.530659058419403</v>
      </c>
      <c r="D17" s="47">
        <f t="shared" si="0"/>
        <v>1654</v>
      </c>
      <c r="E17" s="11">
        <f>B17-results!C9</f>
        <v>17.082771670947409</v>
      </c>
      <c r="F17" s="46">
        <f t="shared" si="1"/>
        <v>1709</v>
      </c>
      <c r="G17" s="41">
        <f t="shared" si="4"/>
        <v>0</v>
      </c>
      <c r="H17" s="40">
        <f t="shared" si="5"/>
        <v>1709</v>
      </c>
      <c r="I17" s="41">
        <f t="shared" si="6"/>
        <v>0</v>
      </c>
      <c r="J17" s="43">
        <f t="shared" si="7"/>
        <v>102540</v>
      </c>
      <c r="K17" s="6"/>
      <c r="L17" s="5"/>
    </row>
    <row r="18" spans="1:12" x14ac:dyDescent="0.2">
      <c r="A18" s="50">
        <v>7</v>
      </c>
      <c r="B18" s="46">
        <v>27</v>
      </c>
      <c r="C18" s="11">
        <f>B18-results!B10</f>
        <v>25.454353042430292</v>
      </c>
      <c r="D18" s="47">
        <f t="shared" si="0"/>
        <v>2546</v>
      </c>
      <c r="E18" s="11">
        <f>B18-results!C10</f>
        <v>17.229063728498438</v>
      </c>
      <c r="F18" s="46">
        <f t="shared" si="1"/>
        <v>1723</v>
      </c>
      <c r="G18" s="41">
        <f t="shared" si="4"/>
        <v>55</v>
      </c>
      <c r="H18" s="40">
        <f t="shared" si="5"/>
        <v>1668</v>
      </c>
      <c r="I18" s="41">
        <f t="shared" si="6"/>
        <v>823</v>
      </c>
      <c r="J18" s="43">
        <f t="shared" si="7"/>
        <v>169542</v>
      </c>
      <c r="K18" s="6"/>
      <c r="L18" s="5"/>
    </row>
    <row r="19" spans="1:12" x14ac:dyDescent="0.2">
      <c r="A19" s="50">
        <v>8</v>
      </c>
      <c r="B19" s="46">
        <v>27</v>
      </c>
      <c r="C19" s="11">
        <f>B19-results!B11</f>
        <v>25.997842321989062</v>
      </c>
      <c r="D19" s="47">
        <f t="shared" si="0"/>
        <v>2600</v>
      </c>
      <c r="E19" s="11">
        <f>B19-results!C11</f>
        <v>20.99250605042484</v>
      </c>
      <c r="F19" s="46">
        <f t="shared" si="1"/>
        <v>2100</v>
      </c>
      <c r="G19" s="41">
        <f t="shared" si="4"/>
        <v>0</v>
      </c>
      <c r="H19" s="40">
        <f t="shared" si="5"/>
        <v>2100</v>
      </c>
      <c r="I19" s="41">
        <f t="shared" si="6"/>
        <v>500</v>
      </c>
      <c r="J19" s="43">
        <f t="shared" si="7"/>
        <v>168000</v>
      </c>
      <c r="K19" s="6"/>
      <c r="L19" s="5"/>
    </row>
    <row r="20" spans="1:12" x14ac:dyDescent="0.2">
      <c r="A20" s="50">
        <v>9</v>
      </c>
      <c r="B20" s="46">
        <v>27</v>
      </c>
      <c r="C20" s="11">
        <f>B20-results!B12</f>
        <v>24.433266970624018</v>
      </c>
      <c r="D20" s="47">
        <f t="shared" si="0"/>
        <v>2444</v>
      </c>
      <c r="E20" s="11">
        <f>B20-results!C12</f>
        <v>25.72609768220968</v>
      </c>
      <c r="F20" s="46">
        <f t="shared" si="1"/>
        <v>2573</v>
      </c>
      <c r="G20" s="41">
        <f t="shared" si="4"/>
        <v>0</v>
      </c>
      <c r="H20" s="40">
        <f t="shared" si="5"/>
        <v>2573</v>
      </c>
      <c r="I20" s="41">
        <f t="shared" si="6"/>
        <v>0</v>
      </c>
      <c r="J20" s="43">
        <f t="shared" si="7"/>
        <v>154380</v>
      </c>
      <c r="K20" s="6"/>
      <c r="L20" s="5"/>
    </row>
    <row r="21" spans="1:12" x14ac:dyDescent="0.2">
      <c r="A21" s="50">
        <v>10</v>
      </c>
      <c r="B21" s="46">
        <v>27</v>
      </c>
      <c r="C21" s="11">
        <f>B21-results!B13</f>
        <v>25.296761241191021</v>
      </c>
      <c r="D21" s="47">
        <f t="shared" si="0"/>
        <v>2530</v>
      </c>
      <c r="E21" s="11">
        <f>B21-results!C13</f>
        <v>25.21555464630654</v>
      </c>
      <c r="F21" s="46">
        <f t="shared" si="1"/>
        <v>2522</v>
      </c>
      <c r="G21" s="41">
        <f t="shared" si="4"/>
        <v>129</v>
      </c>
      <c r="H21" s="40">
        <f t="shared" si="5"/>
        <v>2393</v>
      </c>
      <c r="I21" s="41">
        <f t="shared" si="6"/>
        <v>8</v>
      </c>
      <c r="J21" s="43">
        <f t="shared" si="7"/>
        <v>145026</v>
      </c>
      <c r="K21" s="6"/>
      <c r="L21" s="5"/>
    </row>
    <row r="22" spans="1:12" x14ac:dyDescent="0.2">
      <c r="A22" s="50">
        <v>11</v>
      </c>
      <c r="B22" s="46">
        <v>27</v>
      </c>
      <c r="C22" s="11">
        <f>B22-results!B14</f>
        <v>24.467529631420881</v>
      </c>
      <c r="D22" s="47">
        <f t="shared" si="0"/>
        <v>2447</v>
      </c>
      <c r="E22" s="11">
        <f>B22-results!C14</f>
        <v>24.86501410590752</v>
      </c>
      <c r="F22" s="46">
        <f t="shared" si="1"/>
        <v>2487</v>
      </c>
      <c r="G22" s="41">
        <f t="shared" si="4"/>
        <v>0</v>
      </c>
      <c r="H22" s="40">
        <f t="shared" si="5"/>
        <v>2487</v>
      </c>
      <c r="I22" s="41">
        <f t="shared" si="6"/>
        <v>0</v>
      </c>
      <c r="J22" s="43">
        <f t="shared" si="7"/>
        <v>149220</v>
      </c>
      <c r="K22" s="6"/>
      <c r="L22" s="5"/>
    </row>
    <row r="23" spans="1:12" x14ac:dyDescent="0.2">
      <c r="A23" s="50">
        <v>12</v>
      </c>
      <c r="B23" s="46">
        <v>27</v>
      </c>
      <c r="C23" s="11">
        <f>B23-results!B15</f>
        <v>24.478627120108388</v>
      </c>
      <c r="D23" s="47">
        <f t="shared" si="0"/>
        <v>2448</v>
      </c>
      <c r="E23" s="11">
        <f>B23-results!C15</f>
        <v>24.882145436305951</v>
      </c>
      <c r="F23" s="46">
        <f t="shared" si="1"/>
        <v>2489</v>
      </c>
      <c r="G23" s="41">
        <f t="shared" si="4"/>
        <v>40</v>
      </c>
      <c r="H23" s="40">
        <f t="shared" si="5"/>
        <v>2449</v>
      </c>
      <c r="I23" s="41">
        <f t="shared" si="6"/>
        <v>0</v>
      </c>
      <c r="J23" s="43">
        <f t="shared" si="7"/>
        <v>147180</v>
      </c>
      <c r="K23" s="6"/>
      <c r="L23" s="5"/>
    </row>
    <row r="24" spans="1:12" x14ac:dyDescent="0.2">
      <c r="A24" s="50">
        <v>13</v>
      </c>
      <c r="B24" s="46">
        <v>27</v>
      </c>
      <c r="C24" s="11">
        <f>B24-results!B16</f>
        <v>24.093659819082269</v>
      </c>
      <c r="D24" s="47">
        <f t="shared" si="0"/>
        <v>2410</v>
      </c>
      <c r="E24" s="11">
        <f>B24-results!C16</f>
        <v>24.473078375764629</v>
      </c>
      <c r="F24" s="46">
        <f t="shared" si="1"/>
        <v>2448</v>
      </c>
      <c r="G24" s="41">
        <f t="shared" si="4"/>
        <v>41</v>
      </c>
      <c r="H24" s="40">
        <f t="shared" si="5"/>
        <v>2407</v>
      </c>
      <c r="I24" s="41">
        <f t="shared" si="6"/>
        <v>0</v>
      </c>
      <c r="J24" s="43">
        <f t="shared" si="7"/>
        <v>144666</v>
      </c>
      <c r="K24" s="6"/>
      <c r="L24" s="5"/>
    </row>
    <row r="25" spans="1:12" x14ac:dyDescent="0.2">
      <c r="A25" s="50">
        <v>14</v>
      </c>
      <c r="B25" s="46">
        <v>27</v>
      </c>
      <c r="C25" s="11">
        <f>B25-results!B17</f>
        <v>22.718877024461701</v>
      </c>
      <c r="D25" s="47">
        <f t="shared" si="0"/>
        <v>2272</v>
      </c>
      <c r="E25" s="11">
        <f>B25-results!C17</f>
        <v>24.286143469595331</v>
      </c>
      <c r="F25" s="46">
        <f t="shared" si="1"/>
        <v>2429</v>
      </c>
      <c r="G25" s="41">
        <f t="shared" si="4"/>
        <v>38</v>
      </c>
      <c r="H25" s="40">
        <f t="shared" si="5"/>
        <v>2391</v>
      </c>
      <c r="I25" s="41">
        <f t="shared" si="6"/>
        <v>0</v>
      </c>
      <c r="J25" s="43">
        <f t="shared" si="7"/>
        <v>143688</v>
      </c>
      <c r="K25" s="6"/>
      <c r="L25" s="5"/>
    </row>
    <row r="26" spans="1:12" x14ac:dyDescent="0.2">
      <c r="A26" s="50">
        <v>15</v>
      </c>
      <c r="B26" s="46">
        <v>27</v>
      </c>
      <c r="C26" s="11">
        <f>B26-results!B18</f>
        <v>22.580283055614352</v>
      </c>
      <c r="D26" s="47">
        <f t="shared" si="0"/>
        <v>2259</v>
      </c>
      <c r="E26" s="11">
        <f>B26-results!C18</f>
        <v>23.40626842177198</v>
      </c>
      <c r="F26" s="46">
        <f t="shared" si="1"/>
        <v>2341</v>
      </c>
      <c r="G26" s="41">
        <f t="shared" si="4"/>
        <v>157</v>
      </c>
      <c r="H26" s="40">
        <f t="shared" si="5"/>
        <v>2184</v>
      </c>
      <c r="I26" s="41">
        <f t="shared" si="6"/>
        <v>0</v>
      </c>
      <c r="J26" s="43">
        <f t="shared" si="7"/>
        <v>131982</v>
      </c>
      <c r="K26" s="6"/>
      <c r="L26" s="5"/>
    </row>
    <row r="27" spans="1:12" x14ac:dyDescent="0.2">
      <c r="A27" s="50">
        <v>16</v>
      </c>
      <c r="B27" s="46">
        <v>27</v>
      </c>
      <c r="C27" s="11">
        <f>B27-results!B19</f>
        <v>22.380152508259059</v>
      </c>
      <c r="D27" s="47">
        <f t="shared" si="0"/>
        <v>2239</v>
      </c>
      <c r="E27" s="11">
        <f>B27-results!C19</f>
        <v>22.649580040038021</v>
      </c>
      <c r="F27" s="46">
        <f t="shared" si="1"/>
        <v>2265</v>
      </c>
      <c r="G27" s="41">
        <f t="shared" si="4"/>
        <v>82</v>
      </c>
      <c r="H27" s="40">
        <f t="shared" si="5"/>
        <v>2183</v>
      </c>
      <c r="I27" s="41">
        <f t="shared" si="6"/>
        <v>0</v>
      </c>
      <c r="J27" s="43">
        <f t="shared" si="7"/>
        <v>131472</v>
      </c>
      <c r="K27" s="6"/>
      <c r="L27" s="5"/>
    </row>
    <row r="28" spans="1:12" x14ac:dyDescent="0.2">
      <c r="A28" s="50">
        <v>17</v>
      </c>
      <c r="B28" s="46">
        <v>27</v>
      </c>
      <c r="C28" s="11">
        <f>B28-results!B20</f>
        <v>22.893365108492901</v>
      </c>
      <c r="D28" s="47">
        <f t="shared" si="0"/>
        <v>2290</v>
      </c>
      <c r="E28" s="11">
        <f>B28-results!C20</f>
        <v>22.480217781936702</v>
      </c>
      <c r="F28" s="46">
        <f t="shared" si="1"/>
        <v>2249</v>
      </c>
      <c r="G28" s="41">
        <f t="shared" si="4"/>
        <v>26</v>
      </c>
      <c r="H28" s="40">
        <f t="shared" si="5"/>
        <v>2223</v>
      </c>
      <c r="I28" s="41">
        <f t="shared" si="6"/>
        <v>41</v>
      </c>
      <c r="J28" s="43">
        <f t="shared" si="7"/>
        <v>136980</v>
      </c>
      <c r="K28" s="6"/>
      <c r="L28" s="5"/>
    </row>
    <row r="29" spans="1:12" x14ac:dyDescent="0.2">
      <c r="A29" s="50">
        <v>18</v>
      </c>
      <c r="B29" s="46">
        <v>27</v>
      </c>
      <c r="C29" s="11">
        <f>B29-results!B21</f>
        <v>22.48183006327795</v>
      </c>
      <c r="D29" s="47">
        <f t="shared" si="0"/>
        <v>2249</v>
      </c>
      <c r="E29" s="11">
        <f>B29-results!C21</f>
        <v>22.63675880837598</v>
      </c>
      <c r="F29" s="46">
        <f t="shared" si="1"/>
        <v>2264</v>
      </c>
      <c r="G29" s="41">
        <f t="shared" si="4"/>
        <v>0</v>
      </c>
      <c r="H29" s="40">
        <f t="shared" si="5"/>
        <v>2264</v>
      </c>
      <c r="I29" s="41">
        <f t="shared" si="6"/>
        <v>0</v>
      </c>
      <c r="J29" s="43">
        <f t="shared" si="7"/>
        <v>135840</v>
      </c>
      <c r="K29" s="6"/>
      <c r="L29" s="5"/>
    </row>
    <row r="30" spans="1:12" x14ac:dyDescent="0.2">
      <c r="A30" s="50">
        <v>19</v>
      </c>
      <c r="B30" s="46">
        <v>27</v>
      </c>
      <c r="C30" s="11">
        <f>B30-results!B22</f>
        <v>23.485107533586781</v>
      </c>
      <c r="D30" s="47">
        <f t="shared" si="0"/>
        <v>2349</v>
      </c>
      <c r="E30" s="11">
        <f>B30-results!C22</f>
        <v>22.68759758588542</v>
      </c>
      <c r="F30" s="46">
        <f t="shared" si="1"/>
        <v>2269</v>
      </c>
      <c r="G30" s="41">
        <f t="shared" si="4"/>
        <v>15</v>
      </c>
      <c r="H30" s="40">
        <f t="shared" si="5"/>
        <v>2254</v>
      </c>
      <c r="I30" s="41">
        <f t="shared" si="6"/>
        <v>80</v>
      </c>
      <c r="J30" s="43">
        <f t="shared" si="7"/>
        <v>142050</v>
      </c>
      <c r="K30" s="6"/>
      <c r="L30" s="5"/>
    </row>
    <row r="31" spans="1:12" x14ac:dyDescent="0.2">
      <c r="A31" s="50">
        <v>20</v>
      </c>
      <c r="B31" s="46">
        <v>27</v>
      </c>
      <c r="C31" s="11">
        <f>B31-results!B23</f>
        <v>23.003191261161412</v>
      </c>
      <c r="D31" s="47">
        <f t="shared" si="0"/>
        <v>2301</v>
      </c>
      <c r="E31" s="11">
        <f>B31-results!C23</f>
        <v>22.983468798432359</v>
      </c>
      <c r="F31" s="46">
        <f t="shared" si="1"/>
        <v>2299</v>
      </c>
      <c r="G31" s="41">
        <f t="shared" si="4"/>
        <v>0</v>
      </c>
      <c r="H31" s="40">
        <f t="shared" si="5"/>
        <v>2299</v>
      </c>
      <c r="I31" s="41">
        <f t="shared" si="6"/>
        <v>2</v>
      </c>
      <c r="J31" s="43">
        <f t="shared" si="7"/>
        <v>138108</v>
      </c>
      <c r="K31" s="6"/>
      <c r="L31" s="5"/>
    </row>
    <row r="32" spans="1:12" x14ac:dyDescent="0.2">
      <c r="I32" s="10" t="s">
        <v>30</v>
      </c>
      <c r="J32" s="44">
        <f>SUM(J12:J31)</f>
        <v>2652942</v>
      </c>
    </row>
    <row r="33" spans="1:12" x14ac:dyDescent="0.2">
      <c r="I33" s="19"/>
      <c r="J33" s="20"/>
    </row>
    <row r="35" spans="1:12" ht="26" x14ac:dyDescent="0.3">
      <c r="B35" s="57" t="s">
        <v>20</v>
      </c>
      <c r="C35" s="57"/>
      <c r="D35" s="57"/>
      <c r="E35" s="57"/>
      <c r="F35" s="57"/>
      <c r="G35" s="57"/>
      <c r="H35" s="57"/>
      <c r="I35" s="57"/>
      <c r="J35" s="57"/>
      <c r="K35" s="7"/>
    </row>
    <row r="36" spans="1:12" x14ac:dyDescent="0.2">
      <c r="A36" s="50" t="s">
        <v>36</v>
      </c>
      <c r="B36" s="45" t="s">
        <v>9</v>
      </c>
      <c r="C36" s="14" t="s">
        <v>12</v>
      </c>
      <c r="D36" s="45" t="s">
        <v>14</v>
      </c>
      <c r="E36" s="14" t="s">
        <v>21</v>
      </c>
      <c r="F36" s="45" t="s">
        <v>22</v>
      </c>
      <c r="G36" s="38" t="s">
        <v>17</v>
      </c>
      <c r="H36" s="36" t="s">
        <v>18</v>
      </c>
      <c r="I36" s="37" t="s">
        <v>19</v>
      </c>
      <c r="J36" s="42" t="s">
        <v>15</v>
      </c>
    </row>
    <row r="37" spans="1:12" x14ac:dyDescent="0.2">
      <c r="A37" s="50">
        <v>1</v>
      </c>
      <c r="B37" s="46">
        <v>27</v>
      </c>
      <c r="C37" s="48">
        <f>B37-results!B4</f>
        <v>14.3654190147978</v>
      </c>
      <c r="D37" s="47">
        <f>_xlfn.CEILING.MATH(C37*$D$5)</f>
        <v>1437</v>
      </c>
      <c r="E37" s="48">
        <f>B37-results!D4</f>
        <v>14.187000997059</v>
      </c>
      <c r="F37" s="46">
        <f xml:space="preserve"> _xlfn.CEILING.MATH(E37*$D$5)</f>
        <v>1419</v>
      </c>
      <c r="G37" s="39">
        <v>0</v>
      </c>
      <c r="H37" s="40">
        <f>F37 - G37</f>
        <v>1419</v>
      </c>
      <c r="I37" s="41">
        <f>IF(D37-H37&lt;0, 0, D37-H37)</f>
        <v>18</v>
      </c>
      <c r="J37" s="43">
        <f>G37*$D$8 +H37*$D$6+I37*$D$7</f>
        <v>86652</v>
      </c>
      <c r="K37" s="6"/>
      <c r="L37" s="5"/>
    </row>
    <row r="38" spans="1:12" x14ac:dyDescent="0.2">
      <c r="A38" s="50">
        <v>2</v>
      </c>
      <c r="B38" s="46">
        <v>27</v>
      </c>
      <c r="C38" s="48">
        <f>B38-results!B5</f>
        <v>19.319066289105219</v>
      </c>
      <c r="D38" s="47">
        <f t="shared" ref="D38:D56" si="8">_xlfn.CEILING.MATH(C38*$D$5)</f>
        <v>1932</v>
      </c>
      <c r="E38" s="48">
        <f>B38-results!D5</f>
        <v>19.18600024172607</v>
      </c>
      <c r="F38" s="46">
        <f t="shared" ref="F38:F56" si="9" xml:space="preserve"> _xlfn.CEILING.MATH(E38*$D$5)</f>
        <v>1919</v>
      </c>
      <c r="G38" s="41">
        <f>IF(SUM(G37:I37)&gt;D37,SUM(G37:I37)-D37,0)</f>
        <v>0</v>
      </c>
      <c r="H38" s="40">
        <f t="shared" ref="H38" si="10">F38 - G38</f>
        <v>1919</v>
      </c>
      <c r="I38" s="41">
        <f t="shared" ref="I38" si="11">IF(G38+H38&lt;D38, D38-G38-H38, 0)</f>
        <v>13</v>
      </c>
      <c r="J38" s="43">
        <f t="shared" ref="J38:J56" si="12">G38*$D$8 +H38*$D$6+I38*$D$7</f>
        <v>116232</v>
      </c>
      <c r="K38" s="6"/>
      <c r="L38" s="5"/>
    </row>
    <row r="39" spans="1:12" x14ac:dyDescent="0.2">
      <c r="A39" s="50">
        <v>3</v>
      </c>
      <c r="B39" s="46">
        <v>27</v>
      </c>
      <c r="C39" s="48">
        <f>B39-results!B6</f>
        <v>14.2904790511438</v>
      </c>
      <c r="D39" s="47">
        <f t="shared" si="8"/>
        <v>1430</v>
      </c>
      <c r="E39" s="48">
        <f>B39-results!D6</f>
        <v>14.3270320838879</v>
      </c>
      <c r="F39" s="46">
        <f t="shared" si="9"/>
        <v>1433</v>
      </c>
      <c r="G39" s="41">
        <f>IF(SUM(G38:I38)&gt;D38,SUM(G38:I38)-D38,0)</f>
        <v>0</v>
      </c>
      <c r="H39" s="40">
        <f t="shared" ref="H39:H56" si="13">F39 - G39</f>
        <v>1433</v>
      </c>
      <c r="I39" s="41">
        <f t="shared" ref="I39:I56" si="14">IF(G39+H39&lt;D39, D39-G39-H39, 0)</f>
        <v>0</v>
      </c>
      <c r="J39" s="43">
        <f t="shared" si="12"/>
        <v>85980</v>
      </c>
      <c r="K39" s="6"/>
      <c r="L39" s="5"/>
    </row>
    <row r="40" spans="1:12" x14ac:dyDescent="0.2">
      <c r="A40" s="50">
        <v>4</v>
      </c>
      <c r="B40" s="46">
        <v>27</v>
      </c>
      <c r="C40" s="48">
        <f>B40-results!B7</f>
        <v>16.2380749433174</v>
      </c>
      <c r="D40" s="47">
        <f t="shared" si="8"/>
        <v>1624</v>
      </c>
      <c r="E40" s="48">
        <f>B40-results!D7</f>
        <v>16.258434121025502</v>
      </c>
      <c r="F40" s="46">
        <f t="shared" si="9"/>
        <v>1626</v>
      </c>
      <c r="G40" s="41">
        <f t="shared" ref="G40:G56" si="15">IF(SUM(G39:I39)&gt;D39,SUM(G39:I39)-D39,0)</f>
        <v>3</v>
      </c>
      <c r="H40" s="40">
        <f t="shared" si="13"/>
        <v>1623</v>
      </c>
      <c r="I40" s="41">
        <f t="shared" si="14"/>
        <v>0</v>
      </c>
      <c r="J40" s="43">
        <f t="shared" si="12"/>
        <v>97398</v>
      </c>
      <c r="K40" s="6"/>
      <c r="L40" s="5"/>
    </row>
    <row r="41" spans="1:12" x14ac:dyDescent="0.2">
      <c r="A41" s="50">
        <v>5</v>
      </c>
      <c r="B41" s="46">
        <v>27</v>
      </c>
      <c r="C41" s="48">
        <f>B41-results!B8</f>
        <v>17.927468398577489</v>
      </c>
      <c r="D41" s="47">
        <f t="shared" si="8"/>
        <v>1793</v>
      </c>
      <c r="E41" s="48">
        <f>B41-results!D8</f>
        <v>18.02113950516312</v>
      </c>
      <c r="F41" s="46">
        <f t="shared" si="9"/>
        <v>1803</v>
      </c>
      <c r="G41" s="41">
        <f t="shared" si="15"/>
        <v>2</v>
      </c>
      <c r="H41" s="40">
        <f t="shared" si="13"/>
        <v>1801</v>
      </c>
      <c r="I41" s="41">
        <f t="shared" si="14"/>
        <v>0</v>
      </c>
      <c r="J41" s="43">
        <f t="shared" si="12"/>
        <v>108072</v>
      </c>
      <c r="K41" s="6"/>
      <c r="L41" s="5"/>
    </row>
    <row r="42" spans="1:12" x14ac:dyDescent="0.2">
      <c r="A42" s="50">
        <v>6</v>
      </c>
      <c r="B42" s="46">
        <v>27</v>
      </c>
      <c r="C42" s="48">
        <f>B42-results!B9</f>
        <v>16.530659058419403</v>
      </c>
      <c r="D42" s="47">
        <f t="shared" si="8"/>
        <v>1654</v>
      </c>
      <c r="E42" s="48">
        <f>B42-results!D9</f>
        <v>16.6714395219925</v>
      </c>
      <c r="F42" s="46">
        <f t="shared" si="9"/>
        <v>1668</v>
      </c>
      <c r="G42" s="41">
        <f t="shared" si="15"/>
        <v>10</v>
      </c>
      <c r="H42" s="40">
        <f t="shared" si="13"/>
        <v>1658</v>
      </c>
      <c r="I42" s="41">
        <f t="shared" si="14"/>
        <v>0</v>
      </c>
      <c r="J42" s="43">
        <f t="shared" si="12"/>
        <v>99540</v>
      </c>
      <c r="K42" s="6"/>
      <c r="L42" s="5"/>
    </row>
    <row r="43" spans="1:12" x14ac:dyDescent="0.2">
      <c r="A43" s="50">
        <v>7</v>
      </c>
      <c r="B43" s="46">
        <v>27</v>
      </c>
      <c r="C43" s="48">
        <f>B43-results!B10</f>
        <v>25.454353042430292</v>
      </c>
      <c r="D43" s="47">
        <f t="shared" si="8"/>
        <v>2546</v>
      </c>
      <c r="E43" s="48">
        <f>B43-results!D10</f>
        <v>25.30872652366153</v>
      </c>
      <c r="F43" s="46">
        <f t="shared" si="9"/>
        <v>2531</v>
      </c>
      <c r="G43" s="41">
        <f t="shared" si="15"/>
        <v>14</v>
      </c>
      <c r="H43" s="40">
        <f t="shared" si="13"/>
        <v>2517</v>
      </c>
      <c r="I43" s="41">
        <f t="shared" si="14"/>
        <v>15</v>
      </c>
      <c r="J43" s="43">
        <f t="shared" si="12"/>
        <v>152364</v>
      </c>
      <c r="K43" s="6"/>
      <c r="L43" s="5"/>
    </row>
    <row r="44" spans="1:12" x14ac:dyDescent="0.2">
      <c r="A44" s="50">
        <v>8</v>
      </c>
      <c r="B44" s="46">
        <v>27</v>
      </c>
      <c r="C44" s="48">
        <f>B44-results!B11</f>
        <v>25.997842321989062</v>
      </c>
      <c r="D44" s="47">
        <f t="shared" si="8"/>
        <v>2600</v>
      </c>
      <c r="E44" s="48">
        <f>B44-results!D11</f>
        <v>25.92920417407386</v>
      </c>
      <c r="F44" s="46">
        <f t="shared" si="9"/>
        <v>2593</v>
      </c>
      <c r="G44" s="41">
        <f t="shared" si="15"/>
        <v>0</v>
      </c>
      <c r="H44" s="40">
        <f t="shared" si="13"/>
        <v>2593</v>
      </c>
      <c r="I44" s="41">
        <f t="shared" si="14"/>
        <v>7</v>
      </c>
      <c r="J44" s="43">
        <f t="shared" si="12"/>
        <v>156168</v>
      </c>
      <c r="K44" s="6"/>
      <c r="L44" s="5"/>
    </row>
    <row r="45" spans="1:12" x14ac:dyDescent="0.2">
      <c r="A45" s="50">
        <v>9</v>
      </c>
      <c r="B45" s="46">
        <v>27</v>
      </c>
      <c r="C45" s="48">
        <f>B45-results!B12</f>
        <v>24.433266970624018</v>
      </c>
      <c r="D45" s="47">
        <f t="shared" si="8"/>
        <v>2444</v>
      </c>
      <c r="E45" s="48">
        <f>B45-results!D12</f>
        <v>24.83572362070591</v>
      </c>
      <c r="F45" s="46">
        <f t="shared" si="9"/>
        <v>2484</v>
      </c>
      <c r="G45" s="41">
        <f t="shared" si="15"/>
        <v>0</v>
      </c>
      <c r="H45" s="40">
        <f t="shared" si="13"/>
        <v>2484</v>
      </c>
      <c r="I45" s="41">
        <f t="shared" si="14"/>
        <v>0</v>
      </c>
      <c r="J45" s="43">
        <f t="shared" si="12"/>
        <v>149040</v>
      </c>
      <c r="K45" s="6"/>
      <c r="L45" s="5"/>
    </row>
    <row r="46" spans="1:12" x14ac:dyDescent="0.2">
      <c r="A46" s="50">
        <v>10</v>
      </c>
      <c r="B46" s="46">
        <v>27</v>
      </c>
      <c r="C46" s="48">
        <f>B46-results!B13</f>
        <v>25.296761241191021</v>
      </c>
      <c r="D46" s="47">
        <f t="shared" si="8"/>
        <v>2530</v>
      </c>
      <c r="E46" s="48">
        <f>B46-results!D13</f>
        <v>25.143805581494039</v>
      </c>
      <c r="F46" s="46">
        <f t="shared" si="9"/>
        <v>2515</v>
      </c>
      <c r="G46" s="41">
        <f t="shared" si="15"/>
        <v>40</v>
      </c>
      <c r="H46" s="40">
        <f t="shared" si="13"/>
        <v>2475</v>
      </c>
      <c r="I46" s="41">
        <f t="shared" si="14"/>
        <v>15</v>
      </c>
      <c r="J46" s="43">
        <f t="shared" si="12"/>
        <v>150000</v>
      </c>
      <c r="K46" s="6"/>
      <c r="L46" s="5"/>
    </row>
    <row r="47" spans="1:12" x14ac:dyDescent="0.2">
      <c r="A47" s="50">
        <v>11</v>
      </c>
      <c r="B47" s="46">
        <v>27</v>
      </c>
      <c r="C47" s="48">
        <f>B47-results!B14</f>
        <v>24.467529631420881</v>
      </c>
      <c r="D47" s="47">
        <f t="shared" si="8"/>
        <v>2447</v>
      </c>
      <c r="E47" s="48">
        <f>B47-results!D14</f>
        <v>24.30359762793983</v>
      </c>
      <c r="F47" s="46">
        <f t="shared" si="9"/>
        <v>2431</v>
      </c>
      <c r="G47" s="41">
        <f t="shared" si="15"/>
        <v>0</v>
      </c>
      <c r="H47" s="40">
        <f t="shared" si="13"/>
        <v>2431</v>
      </c>
      <c r="I47" s="41">
        <f t="shared" si="14"/>
        <v>16</v>
      </c>
      <c r="J47" s="43">
        <f t="shared" si="12"/>
        <v>147204</v>
      </c>
      <c r="K47" s="6"/>
      <c r="L47" s="5"/>
    </row>
    <row r="48" spans="1:12" x14ac:dyDescent="0.2">
      <c r="A48" s="50">
        <v>12</v>
      </c>
      <c r="B48" s="46">
        <v>27</v>
      </c>
      <c r="C48" s="48">
        <f>B48-results!B15</f>
        <v>24.478627120108388</v>
      </c>
      <c r="D48" s="47">
        <f t="shared" si="8"/>
        <v>2448</v>
      </c>
      <c r="E48" s="48">
        <f>B48-results!D15</f>
        <v>24.517158247258529</v>
      </c>
      <c r="F48" s="46">
        <f t="shared" si="9"/>
        <v>2452</v>
      </c>
      <c r="G48" s="41">
        <f t="shared" si="15"/>
        <v>0</v>
      </c>
      <c r="H48" s="40">
        <f t="shared" si="13"/>
        <v>2452</v>
      </c>
      <c r="I48" s="41">
        <f t="shared" si="14"/>
        <v>0</v>
      </c>
      <c r="J48" s="43">
        <f t="shared" si="12"/>
        <v>147120</v>
      </c>
      <c r="K48" s="6"/>
      <c r="L48" s="5"/>
    </row>
    <row r="49" spans="1:12" x14ac:dyDescent="0.2">
      <c r="A49" s="50">
        <v>13</v>
      </c>
      <c r="B49" s="46">
        <v>27</v>
      </c>
      <c r="C49" s="48">
        <f>B49-results!B16</f>
        <v>24.093659819082269</v>
      </c>
      <c r="D49" s="47">
        <f t="shared" si="8"/>
        <v>2410</v>
      </c>
      <c r="E49" s="48">
        <f>B49-results!D16</f>
        <v>24.33166992873992</v>
      </c>
      <c r="F49" s="46">
        <f t="shared" si="9"/>
        <v>2434</v>
      </c>
      <c r="G49" s="41">
        <f t="shared" si="15"/>
        <v>4</v>
      </c>
      <c r="H49" s="40">
        <f t="shared" si="13"/>
        <v>2430</v>
      </c>
      <c r="I49" s="41">
        <f t="shared" si="14"/>
        <v>0</v>
      </c>
      <c r="J49" s="43">
        <f t="shared" si="12"/>
        <v>145824</v>
      </c>
      <c r="K49" s="6"/>
      <c r="L49" s="5"/>
    </row>
    <row r="50" spans="1:12" x14ac:dyDescent="0.2">
      <c r="A50" s="50">
        <v>14</v>
      </c>
      <c r="B50" s="46">
        <v>27</v>
      </c>
      <c r="C50" s="48">
        <f>B50-results!B17</f>
        <v>22.718877024461701</v>
      </c>
      <c r="D50" s="47">
        <f t="shared" si="8"/>
        <v>2272</v>
      </c>
      <c r="E50" s="48">
        <f>B50-results!D17</f>
        <v>22.975001198251398</v>
      </c>
      <c r="F50" s="46">
        <f t="shared" si="9"/>
        <v>2298</v>
      </c>
      <c r="G50" s="41">
        <f t="shared" si="15"/>
        <v>24</v>
      </c>
      <c r="H50" s="40">
        <f t="shared" si="13"/>
        <v>2274</v>
      </c>
      <c r="I50" s="41">
        <f t="shared" si="14"/>
        <v>0</v>
      </c>
      <c r="J50" s="43">
        <f t="shared" si="12"/>
        <v>136584</v>
      </c>
      <c r="K50" s="6"/>
      <c r="L50" s="5"/>
    </row>
    <row r="51" spans="1:12" x14ac:dyDescent="0.2">
      <c r="A51" s="50">
        <v>15</v>
      </c>
      <c r="B51" s="46">
        <v>27</v>
      </c>
      <c r="C51" s="48">
        <f>B51-results!B18</f>
        <v>22.580283055614352</v>
      </c>
      <c r="D51" s="47">
        <f t="shared" si="8"/>
        <v>2259</v>
      </c>
      <c r="E51" s="48">
        <f>B51-results!D18</f>
        <v>22.898237409523901</v>
      </c>
      <c r="F51" s="46">
        <f t="shared" si="9"/>
        <v>2290</v>
      </c>
      <c r="G51" s="41">
        <f t="shared" si="15"/>
        <v>26</v>
      </c>
      <c r="H51" s="40">
        <f t="shared" si="13"/>
        <v>2264</v>
      </c>
      <c r="I51" s="41">
        <f t="shared" si="14"/>
        <v>0</v>
      </c>
      <c r="J51" s="43">
        <f t="shared" si="12"/>
        <v>135996</v>
      </c>
      <c r="K51" s="6"/>
      <c r="L51" s="5"/>
    </row>
    <row r="52" spans="1:12" x14ac:dyDescent="0.2">
      <c r="A52" s="50">
        <v>16</v>
      </c>
      <c r="B52" s="46">
        <v>27</v>
      </c>
      <c r="C52" s="48">
        <f>B52-results!B19</f>
        <v>22.380152508259059</v>
      </c>
      <c r="D52" s="47">
        <f t="shared" si="8"/>
        <v>2239</v>
      </c>
      <c r="E52" s="48">
        <f>B52-results!D19</f>
        <v>22.427459482907828</v>
      </c>
      <c r="F52" s="46">
        <f t="shared" si="9"/>
        <v>2243</v>
      </c>
      <c r="G52" s="41">
        <f t="shared" si="15"/>
        <v>31</v>
      </c>
      <c r="H52" s="40">
        <f t="shared" si="13"/>
        <v>2212</v>
      </c>
      <c r="I52" s="41">
        <f t="shared" si="14"/>
        <v>0</v>
      </c>
      <c r="J52" s="43">
        <f t="shared" si="12"/>
        <v>132906</v>
      </c>
      <c r="K52" s="6"/>
      <c r="L52" s="5"/>
    </row>
    <row r="53" spans="1:12" x14ac:dyDescent="0.2">
      <c r="A53" s="50">
        <v>17</v>
      </c>
      <c r="B53" s="46">
        <v>27</v>
      </c>
      <c r="C53" s="48">
        <f>B53-results!B20</f>
        <v>22.893365108492901</v>
      </c>
      <c r="D53" s="47">
        <f t="shared" si="8"/>
        <v>2290</v>
      </c>
      <c r="E53" s="48">
        <f>B53-results!D20</f>
        <v>22.779691794701851</v>
      </c>
      <c r="F53" s="46">
        <f t="shared" si="9"/>
        <v>2278</v>
      </c>
      <c r="G53" s="41">
        <f t="shared" si="15"/>
        <v>4</v>
      </c>
      <c r="H53" s="40">
        <f t="shared" si="13"/>
        <v>2274</v>
      </c>
      <c r="I53" s="41">
        <f t="shared" si="14"/>
        <v>12</v>
      </c>
      <c r="J53" s="43">
        <f t="shared" si="12"/>
        <v>137472</v>
      </c>
      <c r="K53" s="6"/>
      <c r="L53" s="5"/>
    </row>
    <row r="54" spans="1:12" x14ac:dyDescent="0.2">
      <c r="A54" s="50">
        <v>18</v>
      </c>
      <c r="B54" s="46">
        <v>27</v>
      </c>
      <c r="C54" s="48">
        <f>B54-results!B21</f>
        <v>22.48183006327795</v>
      </c>
      <c r="D54" s="47">
        <f t="shared" si="8"/>
        <v>2249</v>
      </c>
      <c r="E54" s="48">
        <f>B54-results!D21</f>
        <v>22.345736200404911</v>
      </c>
      <c r="F54" s="46">
        <f t="shared" si="9"/>
        <v>2235</v>
      </c>
      <c r="G54" s="41">
        <f t="shared" si="15"/>
        <v>0</v>
      </c>
      <c r="H54" s="40">
        <f t="shared" si="13"/>
        <v>2235</v>
      </c>
      <c r="I54" s="41">
        <f t="shared" si="14"/>
        <v>14</v>
      </c>
      <c r="J54" s="43">
        <f t="shared" si="12"/>
        <v>135276</v>
      </c>
      <c r="K54" s="6"/>
      <c r="L54" s="5"/>
    </row>
    <row r="55" spans="1:12" x14ac:dyDescent="0.2">
      <c r="A55" s="50">
        <v>19</v>
      </c>
      <c r="B55" s="46">
        <v>27</v>
      </c>
      <c r="C55" s="48">
        <f>B55-results!B22</f>
        <v>23.485107533586781</v>
      </c>
      <c r="D55" s="47">
        <f t="shared" si="8"/>
        <v>2349</v>
      </c>
      <c r="E55" s="48">
        <f>B55-results!D22</f>
        <v>23.848565171564069</v>
      </c>
      <c r="F55" s="46">
        <f t="shared" si="9"/>
        <v>2385</v>
      </c>
      <c r="G55" s="41">
        <f t="shared" si="15"/>
        <v>0</v>
      </c>
      <c r="H55" s="40">
        <f t="shared" si="13"/>
        <v>2385</v>
      </c>
      <c r="I55" s="41">
        <f t="shared" si="14"/>
        <v>0</v>
      </c>
      <c r="J55" s="43">
        <f t="shared" si="12"/>
        <v>143100</v>
      </c>
      <c r="K55" s="6"/>
      <c r="L55" s="5"/>
    </row>
    <row r="56" spans="1:12" x14ac:dyDescent="0.2">
      <c r="A56" s="50">
        <v>20</v>
      </c>
      <c r="B56" s="46">
        <v>27</v>
      </c>
      <c r="C56" s="48">
        <f>B56-results!B23</f>
        <v>23.003191261161412</v>
      </c>
      <c r="D56" s="47">
        <f t="shared" si="8"/>
        <v>2301</v>
      </c>
      <c r="E56" s="48">
        <f>B56-results!D23</f>
        <v>23.445954458044039</v>
      </c>
      <c r="F56" s="46">
        <f t="shared" si="9"/>
        <v>2345</v>
      </c>
      <c r="G56" s="41">
        <f t="shared" si="15"/>
        <v>36</v>
      </c>
      <c r="H56" s="40">
        <f t="shared" si="13"/>
        <v>2309</v>
      </c>
      <c r="I56" s="41">
        <f t="shared" si="14"/>
        <v>0</v>
      </c>
      <c r="J56" s="43">
        <f t="shared" si="12"/>
        <v>138756</v>
      </c>
      <c r="K56" s="6"/>
      <c r="L56" s="5"/>
    </row>
    <row r="57" spans="1:12" x14ac:dyDescent="0.2">
      <c r="I57" s="10" t="s">
        <v>30</v>
      </c>
      <c r="J57" s="44">
        <f>SUM(J37:J56)</f>
        <v>2601684</v>
      </c>
    </row>
    <row r="58" spans="1:12" x14ac:dyDescent="0.2">
      <c r="B58" s="10"/>
      <c r="C58" s="35" t="s">
        <v>15</v>
      </c>
      <c r="D58" s="35" t="s">
        <v>23</v>
      </c>
    </row>
    <row r="59" spans="1:12" x14ac:dyDescent="0.2">
      <c r="B59" s="21" t="s">
        <v>31</v>
      </c>
      <c r="C59" s="18">
        <f>I7-J32</f>
        <v>961242</v>
      </c>
      <c r="D59" s="34">
        <f>C59/I7</f>
        <v>0.26596376941517091</v>
      </c>
      <c r="I59" s="19"/>
      <c r="J59" s="20"/>
      <c r="K59" s="19"/>
    </row>
    <row r="60" spans="1:12" x14ac:dyDescent="0.2">
      <c r="B60" s="21" t="s">
        <v>32</v>
      </c>
      <c r="C60" s="18">
        <f>I7-J57</f>
        <v>1012500</v>
      </c>
      <c r="D60" s="34">
        <f>C60/I7</f>
        <v>0.28014622387792099</v>
      </c>
      <c r="I60" s="19"/>
      <c r="J60" s="20"/>
      <c r="K60" s="26"/>
    </row>
    <row r="61" spans="1:12" x14ac:dyDescent="0.2">
      <c r="B61" s="21" t="s">
        <v>33</v>
      </c>
      <c r="C61" s="18">
        <f xml:space="preserve"> C60-C59</f>
        <v>51258</v>
      </c>
      <c r="D61" s="34">
        <f>(C60-C59)/C59</f>
        <v>5.3324761090339373E-2</v>
      </c>
      <c r="I61" s="19"/>
      <c r="J61" s="26"/>
      <c r="K61" s="19"/>
    </row>
  </sheetData>
  <mergeCells count="11">
    <mergeCell ref="B1:C1"/>
    <mergeCell ref="H2:I2"/>
    <mergeCell ref="B10:J10"/>
    <mergeCell ref="B35:J35"/>
    <mergeCell ref="B3:C3"/>
    <mergeCell ref="B4:C4"/>
    <mergeCell ref="B5:C5"/>
    <mergeCell ref="B6:C6"/>
    <mergeCell ref="B7:C7"/>
    <mergeCell ref="B8:C8"/>
    <mergeCell ref="B2:C2"/>
  </mergeCell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simulation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2021-05-05T01:30:24Z</dcterms:created>
  <dcterms:modified xsi:type="dcterms:W3CDTF">2021-05-24T15:00:06Z</dcterms:modified>
</cp:coreProperties>
</file>